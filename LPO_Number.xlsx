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eed\Documents\spar-dashboard\"/>
    </mc:Choice>
  </mc:AlternateContent>
  <xr:revisionPtr revIDLastSave="0" documentId="13_ncr:1_{66E635DA-5C10-4982-86BB-2CCF927246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PO TRACKING" sheetId="1" r:id="rId1"/>
    <sheet name="Sheet1" sheetId="2" r:id="rId2"/>
  </sheets>
  <definedNames>
    <definedName name="_xlnm._FilterDatabase" localSheetId="0" hidden="1">'LPO TRACKING'!$A$1:$M$482</definedName>
  </definedNames>
  <calcPr calcId="191029"/>
</workbook>
</file>

<file path=xl/calcChain.xml><?xml version="1.0" encoding="utf-8"?>
<calcChain xmlns="http://schemas.openxmlformats.org/spreadsheetml/2006/main">
  <c r="G436" i="1" l="1"/>
  <c r="G17" i="1"/>
  <c r="G15" i="1"/>
  <c r="G14" i="1"/>
  <c r="G12" i="1"/>
  <c r="G10" i="1"/>
</calcChain>
</file>

<file path=xl/sharedStrings.xml><?xml version="1.0" encoding="utf-8"?>
<sst xmlns="http://schemas.openxmlformats.org/spreadsheetml/2006/main" count="5154" uniqueCount="1375">
  <si>
    <t>LPO NO:</t>
  </si>
  <si>
    <t>COMPANY NAME</t>
  </si>
  <si>
    <t>STORE NAME</t>
  </si>
  <si>
    <t>Category</t>
  </si>
  <si>
    <t>QT Ref No.</t>
  </si>
  <si>
    <t xml:space="preserve">DESCRIPTION </t>
  </si>
  <si>
    <t>AMT</t>
  </si>
  <si>
    <t>LPO STATUS</t>
  </si>
  <si>
    <t>DATE OF ISSUE</t>
  </si>
  <si>
    <t>PAYMENT SCHEDULE</t>
  </si>
  <si>
    <t>INVOICE STATUS</t>
  </si>
  <si>
    <t xml:space="preserve">LPO SUBMISSION </t>
  </si>
  <si>
    <t>REMARKS</t>
  </si>
  <si>
    <t>INVOICE DATE</t>
  </si>
  <si>
    <t>INVOICE NUMBER</t>
  </si>
  <si>
    <t>PAYMENT STATUS</t>
  </si>
  <si>
    <t>PO LINK</t>
  </si>
  <si>
    <t>ADAM STAR</t>
  </si>
  <si>
    <t>Z3</t>
  </si>
  <si>
    <t xml:space="preserve">HAVAC MAINTENANCE </t>
  </si>
  <si>
    <t>DUCT WORKS</t>
  </si>
  <si>
    <t>ISSUED</t>
  </si>
  <si>
    <t>100% AFTER COMPLETION</t>
  </si>
  <si>
    <t>SUBMITTED</t>
  </si>
  <si>
    <t>PAID</t>
  </si>
  <si>
    <t>https://drive.google.com/file/d/1-aeJ1ylUNb_GkxJTek42g402kAdtwZys/view?usp=drivesdk</t>
  </si>
  <si>
    <t>BA</t>
  </si>
  <si>
    <t>EMERGENCY LIGHT - QCD</t>
  </si>
  <si>
    <t>https://drive.google.com/file/d/18l8mKBuhyObIsMF1Mdg4_6uSoaivwdjG/view?usp=drivesdk</t>
  </si>
  <si>
    <t>PA</t>
  </si>
  <si>
    <t>https://drive.google.com/file/d/1BJGYUU68vz9CU1tJUt6Xe2waTUY4XTAl/view?usp=drivesdk</t>
  </si>
  <si>
    <t>ALJ</t>
  </si>
  <si>
    <t>AC LP/HP SWITCH REPLACEMENT</t>
  </si>
  <si>
    <t>https://drive.google.com/file/d/1VZwLbLhn3ej5cVz0zuljJar8oB6uk5kI/view?usp=drivesdk</t>
  </si>
  <si>
    <t>BS</t>
  </si>
  <si>
    <t>FF FA FS MAINTENANCE</t>
  </si>
  <si>
    <t>QCD FA FF RECTIFICATION WORKS</t>
  </si>
  <si>
    <t>100% ADVANCE PAYMENT</t>
  </si>
  <si>
    <t>https://drive.google.com/file/d/1CDzzrFnGiDKDr31yBXP7TkPeFhikyw6e/view?usp=drivesdk</t>
  </si>
  <si>
    <t>SPOT MEDIA</t>
  </si>
  <si>
    <t>TAWAR</t>
  </si>
  <si>
    <t>SIGNAGE STICKER BRANDING WORKS</t>
  </si>
  <si>
    <t>EXTERNAL SIGNAGE RECTIFICATION</t>
  </si>
  <si>
    <t>https://drive.google.com/file/d/1B2DgnezJITL3ERmFhZ14MbXkvVrlmK2o/view?usp=drivesdk</t>
  </si>
  <si>
    <t>AL MANA</t>
  </si>
  <si>
    <t xml:space="preserve">FISHERY EXHAUST FAN </t>
  </si>
  <si>
    <t>https://drive.google.com/file/d/1bB_yUAhqa_Rvp5jEhJoPIoZo6qzd-Zui/view?usp=drivesdk</t>
  </si>
  <si>
    <t xml:space="preserve">FIRE EXTINGUISHER </t>
  </si>
  <si>
    <t>https://drive.google.com/file/d/1yHUZGuJOD1HjCslKX8dFsoSgjwOXEP72/view?usp=drivesdk</t>
  </si>
  <si>
    <t>RAAH RAAZ ENGINEERING</t>
  </si>
  <si>
    <t>EQUIPMENT MAINTENANCE</t>
  </si>
  <si>
    <t>MAINTENANCE FOR EQUIPMENTS</t>
  </si>
  <si>
    <t xml:space="preserve">70% ADVANCE 30% COMPLETION </t>
  </si>
  <si>
    <t>ADVANCE PAID</t>
  </si>
  <si>
    <t>https://drive.google.com/file/d/1njYKHaF6SIuvcYzoupIw7-o9sfHgjoOZ/view?usp=drivesdk</t>
  </si>
  <si>
    <t xml:space="preserve">SMOKE DETECTOR REPLACEMENT </t>
  </si>
  <si>
    <t>https://drive.google.com/file/d/1XULJIVk972_51K7UpHMvp2NBM8h1Iwqv/view?usp=drivesdk</t>
  </si>
  <si>
    <t>KAPLANLAR</t>
  </si>
  <si>
    <t>REFRIGERATION MAINTENANCE</t>
  </si>
  <si>
    <t xml:space="preserve">CONDENSOR </t>
  </si>
  <si>
    <t>https://drive.google.com/file/d/1hVhq-mABSYeJPfMLBQutKdHytLMDKP0-/view?usp=drivesdk</t>
  </si>
  <si>
    <t xml:space="preserve">REF GAS LEAKAGE </t>
  </si>
  <si>
    <t>https://drive.google.com/file/d/1BFzvAaC6WfxbRwrM2pq8zsxSHxW36Xiw/view?usp=drivesdk</t>
  </si>
  <si>
    <t>HARVEST TRADING</t>
  </si>
  <si>
    <t>BUILDING MAINTENANCE CIVIL WORKS</t>
  </si>
  <si>
    <t>OFFICE FITOUT</t>
  </si>
  <si>
    <t>65% PAYMENT</t>
  </si>
  <si>
    <t>https://drive.google.com/file/d/1vIGVX1fVRbGKeErLpu45qznkJ4g1Ezpp/view?usp=drivesdk</t>
  </si>
  <si>
    <t>SERVETECH</t>
  </si>
  <si>
    <t>GENERATOR AMC</t>
  </si>
  <si>
    <t xml:space="preserve">QUARTERLY </t>
  </si>
  <si>
    <t>https://drive.google.com/file/d/1AS6HDMcJGAooNLyEo6J1eUT81BX9ys96/view?usp=drivesdk</t>
  </si>
  <si>
    <t>CASAVALOR</t>
  </si>
  <si>
    <t>AMC REFRIGERATION</t>
  </si>
  <si>
    <t>REFRIGERATION AMC</t>
  </si>
  <si>
    <t>https://drive.google.com/file/d/1lvn1jOpe8J6macrR3KZf2MzV89d2uiup/view?usp=drivesdk</t>
  </si>
  <si>
    <t xml:space="preserve">GRAPPLE </t>
  </si>
  <si>
    <t>IT ASSETS</t>
  </si>
  <si>
    <t>MEDIA WALL</t>
  </si>
  <si>
    <t>25% Final Payment</t>
  </si>
  <si>
    <t>https://drive.google.com/file/d/1-No6oqxwZd6e8C6ZlwS8wLrL-jWGlsCY/view?usp=drivesdk</t>
  </si>
  <si>
    <t>IT WORKS</t>
  </si>
  <si>
    <t>IT Network</t>
  </si>
  <si>
    <t>https://drive.google.com/file/d/1vDfq9L79q-9XJE9JRCCyd83cINwXU3XD/view?usp=drivesdk</t>
  </si>
  <si>
    <t>CARPET</t>
  </si>
  <si>
    <t>https://drive.google.com/file/d/1Ll7hujeG8UOFHZ65zUsAdTZ11_KA6Uvv/view?usp=drivesdk</t>
  </si>
  <si>
    <t>FA DEVICES GENERATOR RM</t>
  </si>
  <si>
    <t>https://drive.google.com/file/d/1yQpcH3CKYQuGqRsyv8w5orEhrZxWOPIz/view?usp=drivesdk</t>
  </si>
  <si>
    <t>PROFESSIONAL</t>
  </si>
  <si>
    <t>CIVIL MEP GEN ROOM</t>
  </si>
  <si>
    <t>50% ADVANCE 50% COMPLETION</t>
  </si>
  <si>
    <t>https://drive.google.com/file/d/1DHZ3yKIvCjWFH0_rdYPkpcuGNJa-fmV0/view?usp=drivesdk</t>
  </si>
  <si>
    <t xml:space="preserve">WASH ROOM RECEPTION </t>
  </si>
  <si>
    <t>https://drive.google.com/file/d/1gClpaqivR2wRLX-DOg2eznFztEnU5yKu/view?usp=drivesdk</t>
  </si>
  <si>
    <t>AC FRESH AIR FAN</t>
  </si>
  <si>
    <t>https://drive.google.com/file/d/1jNzZ-UHH8gEb9_Ihi6Z5AOBVLeP8nbyw/view?usp=drivesdk</t>
  </si>
  <si>
    <t xml:space="preserve">MODEX </t>
  </si>
  <si>
    <t>FACP PROGRAMMING</t>
  </si>
  <si>
    <t>https://drive.google.com/file/d/1vXivY5_QD0E6vq8pVAWH2xLhZ5icvHRe/view?usp=drivesdk</t>
  </si>
  <si>
    <t xml:space="preserve">SIGANAGE RELOCATION </t>
  </si>
  <si>
    <t>https://drive.google.com/file/d/1pLlMmMwMlZlwxViuYbPKIz1sdcasbggK/view?usp=drivesdk</t>
  </si>
  <si>
    <t>PA SYSTEM RELAY</t>
  </si>
  <si>
    <t>https://drive.google.com/file/d/1W8WIsUd0x6pFdpCjamW2U-q7emHDi9MW/view?usp=drivesdk</t>
  </si>
  <si>
    <t>Fire alarm Sounder Modification</t>
  </si>
  <si>
    <t>https://drive.google.com/file/d/1MjY-9r808dpzFbYOYldbDvsQuGIcHDSm/view?usp=drivesdk</t>
  </si>
  <si>
    <t xml:space="preserve">Generator FA interface </t>
  </si>
  <si>
    <t>https://drive.google.com/file/d/1wqLZmh5cahBK3yYND9f2hYA2MaOMyzbM/view?usp=drivesdk</t>
  </si>
  <si>
    <t>PARAMOUNT</t>
  </si>
  <si>
    <t>ASSET PROCUREMENT</t>
  </si>
  <si>
    <t>HUMMOOS MACHINE</t>
  </si>
  <si>
    <t>REISSUED</t>
  </si>
  <si>
    <t>https://drive.google.com/file/d/1aAr6zyRHrxihL2eUCbD6S2d0TiILMQwH/view?usp=drivesdk</t>
  </si>
  <si>
    <t>https://drive.google.com/file/d/1jzubeINMZBKDuY71m0j3MVGxfVuuiuv9/view?usp=drivesdk</t>
  </si>
  <si>
    <t>QGG</t>
  </si>
  <si>
    <t>LPG AMC</t>
  </si>
  <si>
    <t>https://drive.google.com/file/d/1NXwZT4DmoPQiPQcnT_63uxImyp0FoJwV/view?usp=drivesdk</t>
  </si>
  <si>
    <t xml:space="preserve">DOOR ACCESS &amp; BIOMETRIC </t>
  </si>
  <si>
    <t>https://drive.google.com/file/d/1Bo4r_7rmjzd1pWtOuozkWpfbcBmguw85/view?usp=drivesdk</t>
  </si>
  <si>
    <t>EXTERNAL LIGHT BOX</t>
  </si>
  <si>
    <t>https://drive.google.com/file/d/1AULx5x5SqDfTBHin3TtIhPFe82thrHQQ/view?usp=drivesdk</t>
  </si>
  <si>
    <t>HMR CHILLER COMPRESSOR</t>
  </si>
  <si>
    <t>https://drive.google.com/file/d/1Jicp_mcZrvFzEmPCA1QDfrWWwN20iMjA/view?usp=drivesdk</t>
  </si>
  <si>
    <t>SALTEK</t>
  </si>
  <si>
    <t>BREAD LINE SPARE PARTS</t>
  </si>
  <si>
    <t>https://drive.google.com/file/d/13-an3pWw_H7Emb8evupxjEmEyRcB_Z3R/view?usp=drivesdk</t>
  </si>
  <si>
    <t>CAKE &amp; BAKE</t>
  </si>
  <si>
    <t>CAKE MOLD TRAY</t>
  </si>
  <si>
    <t>https://drive.google.com/file/d/1wFYlQT2XOwkmGLuxqlPc3iNQeNK4nkLI/view?usp=drivesdk</t>
  </si>
  <si>
    <t>FIRE EXT SMOKE DET</t>
  </si>
  <si>
    <t>https://drive.google.com/file/d/1l8RX_bJmrN1t5TaIwOx4YyC7urDxomEl/view?usp=drivesdk</t>
  </si>
  <si>
    <t>https://drive.google.com/file/d/18vGLknkIPhscMEt0Urbujwp8TqQ6fTEo/view?usp=drivesdk</t>
  </si>
  <si>
    <t xml:space="preserve">HMR SCREEN LICENSE </t>
  </si>
  <si>
    <t>https://drive.google.com/file/d/1Wq9rHFasl_w5tQ1RVz8p3zF5ER57N8Cl/view?usp=drivesdk</t>
  </si>
  <si>
    <t>https://drive.google.com/file/d/1zFMg1TqTST0x-RwboLJryH9X486LgnRk/view?usp=drivesdk</t>
  </si>
  <si>
    <t>EFFY SOLUTION</t>
  </si>
  <si>
    <t>VEHICLE TRACKING</t>
  </si>
  <si>
    <t>https://drive.google.com/file/d/1VgsPOD3DggkcWL5Z_ok6GrajFgGivFGM/view?usp=drivesdk</t>
  </si>
  <si>
    <t>MIDAS</t>
  </si>
  <si>
    <t>OFFICE</t>
  </si>
  <si>
    <t>CABINET</t>
  </si>
  <si>
    <t>https://drive.google.com/file/d/17NM7iTN1KvcDFtDil0H-wsbC5og_4HvC/view?usp=drivesdk</t>
  </si>
  <si>
    <t xml:space="preserve">FLEX REPLACEMENT </t>
  </si>
  <si>
    <t>https://drive.google.com/file/d/1BKt2ITUWpOtDaq2UaAx1LGxJYLg7B896/view?usp=drivesdk</t>
  </si>
  <si>
    <t>https://drive.google.com/file/d/12fcdI1TjqpAbHLZ-pF7QCNO-yBfEzTBo/view?usp=drivesdk</t>
  </si>
  <si>
    <t>FURNITURE FIXTURES</t>
  </si>
  <si>
    <t>furniture</t>
  </si>
  <si>
    <t>https://drive.google.com/file/d/1HpAjPf3MaLO7_VTsVUyKGjCvl61-FAay/view?usp=drivesdk</t>
  </si>
  <si>
    <t>RAMADAN COUNTER BRANDING</t>
  </si>
  <si>
    <t>https://drive.google.com/file/d/1VPJ5qgIx3-rIAZzn2aFoBJCky7TiSFMK/view?usp=drivesdk</t>
  </si>
  <si>
    <t>RAMADAN SWEETS COUNTER</t>
  </si>
  <si>
    <t>https://drive.google.com/file/d/1OINhBzu-FC3GOW3tchdX7ggEh_-W-cmK/view?usp=drivesdk</t>
  </si>
  <si>
    <t xml:space="preserve">FV DISPLAY COUNTER </t>
  </si>
  <si>
    <t>https://drive.google.com/file/d/1xAyffDHZC6tBoBxmI3YKPxJvQwqdn7T2/view?usp=drivesdk</t>
  </si>
  <si>
    <t>Pizza Oven</t>
  </si>
  <si>
    <t>https://drive.google.com/file/d/1znocOfE7ZoAZeyp6XXU8pjPTsaYyeV6E/view?usp=drivesdk</t>
  </si>
  <si>
    <t>PETC</t>
  </si>
  <si>
    <t>BUILDING MAINTENANCE MECH WORKS</t>
  </si>
  <si>
    <t xml:space="preserve">DOCKING AREA MAINTENANCE </t>
  </si>
  <si>
    <t>https://drive.google.com/file/d/1awPIuaI5mn8F9MVILHPyvdd_gu67jAg8/view?usp=drivesdk</t>
  </si>
  <si>
    <t>ECO ZONE</t>
  </si>
  <si>
    <t>KICTCHEN HOOD AMC</t>
  </si>
  <si>
    <t xml:space="preserve">Kitchen Hood </t>
  </si>
  <si>
    <t>https://drive.google.com/file/d/1sOGGx0KMtXmv-YTIecAAvG0h1Y82IDiq/view?usp=drivesdk</t>
  </si>
  <si>
    <t>TW/03/ALM</t>
  </si>
  <si>
    <t>HVAC/FA</t>
  </si>
  <si>
    <t>https://drive.google.com/file/d/1lAxFn1ehFLUj6F-HHs39TiJa4ualp7zJ/view?usp=drivesdk</t>
  </si>
  <si>
    <t>EKT</t>
  </si>
  <si>
    <t>Mincer Machine Repair</t>
  </si>
  <si>
    <t>https://drive.google.com/file/d/1j4ZXDo2B2luS-1i2GZm07wUv4ZIQEX5s/view?usp=drivesdk</t>
  </si>
  <si>
    <t>MERLOT</t>
  </si>
  <si>
    <t>PIZZA OVEN HEATER</t>
  </si>
  <si>
    <t>https://drive.google.com/file/d/1f0Vi6OM9I6yZh7pO65cqesVkpFcHYqBG/view?usp=drivesdk</t>
  </si>
  <si>
    <t>TW</t>
  </si>
  <si>
    <t>TV LOGO</t>
  </si>
  <si>
    <t>https://drive.google.com/file/d/1Lmq-KHeV6dhT1kfck7WvyObEd2STDYOh/view?usp=drivesdk</t>
  </si>
  <si>
    <t>CHICKEN GRILLER HEATER</t>
  </si>
  <si>
    <t>https://drive.google.com/file/d/1aKNYc_ln1qvJ9f5gwAJmCgqDWrgMCYI7/view?usp=drivesdk</t>
  </si>
  <si>
    <t>ISA TESSELLI</t>
  </si>
  <si>
    <t>compressor &amp; controller</t>
  </si>
  <si>
    <t>https://drive.google.com/file/d/1VWmq6G4lqcsSh1EcITm_z51VMP_EPyUM/view?usp=drivesdk</t>
  </si>
  <si>
    <t>https://drive.google.com/file/d/1wTBZd2koAysJlmwJrfjoANGZFpfaKpkV/view?usp=drivesdk</t>
  </si>
  <si>
    <t>https://drive.google.com/file/d/1Omnh53CbHftTGZJSVl3A-Yy3Jkvgw7m1/view?usp=drivesdk</t>
  </si>
  <si>
    <t>Meat Mincer Gear Box Repair</t>
  </si>
  <si>
    <t>https://drive.google.com/file/d/1-hiSx8-wpqWa4xa48L4CFo330bhGmoeT/view?usp=drivesdk</t>
  </si>
  <si>
    <t>QQ</t>
  </si>
  <si>
    <t>Combi oven Ignition issue</t>
  </si>
  <si>
    <t>https://drive.google.com/file/d/1KF6nkkSg278nUgVL4iapSoOm11RDKAHf/view?usp=drivesdk</t>
  </si>
  <si>
    <t>PA/TW</t>
  </si>
  <si>
    <t>Under counter chiller &amp; Pastry Chi</t>
  </si>
  <si>
    <t>https://drive.google.com/file/d/1DjEMEEUYzYC08ZvS8tSqUBYY9l2nCMSm/view?usp=drivesdk</t>
  </si>
  <si>
    <t>EVERGREEN</t>
  </si>
  <si>
    <t>FV CHILLER COMPRESSOR INSTALLATION</t>
  </si>
  <si>
    <t>https://drive.google.com/file/d/1W7RqdWtYE2B51f1b3D0QR0hQM-EItMCg/view?usp=drivesdk</t>
  </si>
  <si>
    <t xml:space="preserve">COM. RM LEAKAGFGE RECTIFICATION </t>
  </si>
  <si>
    <t>https://drive.google.com/file/d/1LkST1tCojQaSSOe4_EQhqBpF5EazwkH_/view?usp=drivesdk</t>
  </si>
  <si>
    <t>COLD ROOM COMPRESSOR REPLACEMENT</t>
  </si>
  <si>
    <t>https://drive.google.com/file/d/19BRCazYDxHJiKUOwh4BLBzYw8VvMl7n4/view?usp=drivesdk</t>
  </si>
  <si>
    <t>ALM</t>
  </si>
  <si>
    <t>https://drive.google.com/file/d/19qaG0GDlrUH9mla5ghH6VZ8nWTkraM1r/view?usp=drivesdk</t>
  </si>
  <si>
    <t xml:space="preserve">ICE MACHINE RECTIFICATION </t>
  </si>
  <si>
    <t>https://drive.google.com/file/d/1xrNRqU3zjfw6viWulFzfL5FM4IpQDaz0/view?usp=drivesdk</t>
  </si>
  <si>
    <t xml:space="preserve">Ice Cream Freezer Rectification </t>
  </si>
  <si>
    <t>https://drive.google.com/file/d/1g9nKXPYpEKBFlsQJz4Ym8aYY2W9qUwRf/view?usp=drivesdk</t>
  </si>
  <si>
    <t xml:space="preserve">Chiller Rectification </t>
  </si>
  <si>
    <t>https://drive.google.com/file/d/1mp_zU26N74nZqcDxKCeNblVRTfVoeQmc/view?usp=drivesdk</t>
  </si>
  <si>
    <t xml:space="preserve">DAIRY Chiller FAN Motor Replacement </t>
  </si>
  <si>
    <t>https://drive.google.com/file/d/15DP5q0PT7TrV9vsPxB-a0AGyBMCAVNYB/view?usp=drivesdk</t>
  </si>
  <si>
    <t xml:space="preserve">FV Chiller Condensor replacment </t>
  </si>
  <si>
    <t>https://drive.google.com/file/d/1vIes1GgBXaD0oEg0oXO7r0LNjq6z5EXn/view?usp=drivesdk</t>
  </si>
  <si>
    <t xml:space="preserve">FV CHILLER FAN MOTOR </t>
  </si>
  <si>
    <t>https://drive.google.com/file/d/1oVGvBEKAMuJHiO7HTFWREcuMM38JjrPt/view?usp=drivesdk</t>
  </si>
  <si>
    <t>ALM/PA</t>
  </si>
  <si>
    <t>FV CHILLER SPARE PARTS</t>
  </si>
  <si>
    <t>824 EUR</t>
  </si>
  <si>
    <t>https://drive.google.com/file/d/1SNDhFgY4oz55eIwwjpxnDg4FZNmmWnvG/view?usp=drivesdk</t>
  </si>
  <si>
    <t>COLD ROOM SENSOR</t>
  </si>
  <si>
    <t>https://drive.google.com/file/d/1sP9tbV0wiK9Rn5tO63D3NbU9AThSP9CV/view?usp=drivesdk</t>
  </si>
  <si>
    <t>WATER LEAKAGE</t>
  </si>
  <si>
    <t>https://drive.google.com/file/d/1LfzcPKBBakgqswDGOgVtw6FmpV72Mb7I/view?usp=drivesdk</t>
  </si>
  <si>
    <t xml:space="preserve">FAN MOTOR REPLACEMENT </t>
  </si>
  <si>
    <t>https://drive.google.com/file/d/1wB8m1222_K3I-9woZgHSWSYUDIsZc_ZM/view?usp=drivesdk</t>
  </si>
  <si>
    <t>FREEZER SHORT CIRCUIT</t>
  </si>
  <si>
    <t>https://drive.google.com/file/d/1CFQB_IYfuDL9_fBDqXiRqvw2hpDDjuvu/view?usp=drivesdk</t>
  </si>
  <si>
    <t>CONTROLLER DISPLAY ISSUE</t>
  </si>
  <si>
    <t>https://drive.google.com/file/d/1xbQwyHny4TGJLMbSyWB-4j5_kc-D5Tjt/view?usp=drivesdk</t>
  </si>
  <si>
    <t xml:space="preserve">CONTROLLER REPLACEMENT </t>
  </si>
  <si>
    <t>https://drive.google.com/file/d/1gEMfEqdEzK59KuPcSjM-MX4B5sxOt3-L/view?usp=drivesdk</t>
  </si>
  <si>
    <t>ICE FOARMING ISSUE</t>
  </si>
  <si>
    <t>https://drive.google.com/file/d/1wpNS2vpJ4yNyc_An3dgJU9OILd0qHOBX/view?usp=drivesdk</t>
  </si>
  <si>
    <t>VEG CHILLER HIGH TEMP</t>
  </si>
  <si>
    <t>https://drive.google.com/file/d/1Ov3-3TynODmRoRngVFq7K2t4VRM-AD0A/view?usp=drivesdk</t>
  </si>
  <si>
    <t>CHILLER HIGH TEMP</t>
  </si>
  <si>
    <t>https://drive.google.com/file/d/1ALsuGHPTYiwcbjqYbAUITLbEnmmFM7o9/view?usp=drivesdk</t>
  </si>
  <si>
    <t>UNDER COUNTER CHILLER</t>
  </si>
  <si>
    <t>https://drive.google.com/file/d/19w-TGzsISwOmVorNlVdnEgoDECFVyPQC/view?usp=drivesdk</t>
  </si>
  <si>
    <t xml:space="preserve">UNDER COUNTER CHILLER </t>
  </si>
  <si>
    <t>https://drive.google.com/file/d/1_EM1vQMRtqkZ_YBU8NmnCFfBy1KL66up/view?usp=drivesdk</t>
  </si>
  <si>
    <t>https://drive.google.com/file/d/1owNKOZU-LjQtDgSoIxg6-llbeNzV9L2y/view?usp=drivesdk</t>
  </si>
  <si>
    <t>NEW GLOBAL</t>
  </si>
  <si>
    <t>ALL</t>
  </si>
  <si>
    <t xml:space="preserve">CALIBRATION </t>
  </si>
  <si>
    <t>https://drive.google.com/file/d/1428Axoqx9JfeiijEh9rRcVlVMnPUDy0t/view?usp=drivesdk</t>
  </si>
  <si>
    <t xml:space="preserve">SMK REPLACEMENT </t>
  </si>
  <si>
    <t>https://drive.google.com/file/d/14HnQ90b9sIUYbvx7La3qNTRCP30E_vum/view?usp=drivesdk</t>
  </si>
  <si>
    <t>CDP LEAKAGE</t>
  </si>
  <si>
    <t>29/05/20524</t>
  </si>
  <si>
    <t>https://drive.google.com/file/d/1z6VN-TN-OV4OiukvU_mfL63j4LiYiuZR/view?usp=drivesdk</t>
  </si>
  <si>
    <t>DRAIN LINE CLEANING</t>
  </si>
  <si>
    <t>VEG Chiller ELEC.TRIPPING</t>
  </si>
  <si>
    <t>https://drive.google.com/file/d/1AbNTe-Lb_fmtNL610mo3lfGvS4GRWecW/view?usp=drivesdk</t>
  </si>
  <si>
    <t>https://drive.google.com/file/d/1yeC94Ce5NCWg8Cy3fzHEA7nX0Q7XPpm2/view?usp=drivesdk</t>
  </si>
  <si>
    <t>Veg Chiller Temperature issue</t>
  </si>
  <si>
    <t>https://drive.google.com/file/d/1ktBErzzBdPzfYuzRPwsh0gres1wIMvOy/view?usp=drivesdk</t>
  </si>
  <si>
    <t>VEG CHILLER WATER LEAKAGE</t>
  </si>
  <si>
    <t>https://drive.google.com/file/d/1fpq-bB_0ozqRAWQjH4sNUlX4POia0SMb/view?usp=drivesdk</t>
  </si>
  <si>
    <t>COLD ROOM HIGH TEMPERATURE</t>
  </si>
  <si>
    <t>https://drive.google.com/file/d/1l97aC-O1tU08m3Cuku1Muq_qCK7Xl6hi/view?usp=drivesdk</t>
  </si>
  <si>
    <t xml:space="preserve">CHILLER GLASS DOOR REPLACEMENT </t>
  </si>
  <si>
    <t>https://drive.google.com/file/d/1GDBWcXmUG4Kvgo89zd4oiGdh13j-kLND/view?usp=drivesdk</t>
  </si>
  <si>
    <t>CABINET TEMPERATURE ISSUE</t>
  </si>
  <si>
    <t>https://drive.google.com/file/d/1CSpTnncxqNJRceOF7aJGvjcVxLSNcB62/view?usp=drivesdk</t>
  </si>
  <si>
    <t xml:space="preserve">Icemachine &amp; Cabinets </t>
  </si>
  <si>
    <t>https://drive.google.com/file/d/1vOL9J_c8B4Pg5juEGBaBeIuZ_H9ZE1Fq/view?usp=drivesdk</t>
  </si>
  <si>
    <t>FREZZER COLD ROOM ELECTRICAL PANEL</t>
  </si>
  <si>
    <t>https://drive.google.com/file/d/1wXPHko6Gt_Z4cuglEZEbb7W_EhGx2CDX/view?usp=drivesdk</t>
  </si>
  <si>
    <t xml:space="preserve">FV CHILLER CONTROLLER REPLACEMENT </t>
  </si>
  <si>
    <t>https://drive.google.com/file/d/1NkP2EKoT6gjDpraYAwnoUbIqoJXpEF6Y/view?usp=drivesdk</t>
  </si>
  <si>
    <t xml:space="preserve">VERTICAL CHILLER TEMPERATURE </t>
  </si>
  <si>
    <t>https://drive.google.com/file/d/1i2SUzLUCvxLfem8ixMI1A9iejyctXsXV/view?usp=drivesdk</t>
  </si>
  <si>
    <t>INDO ARAB</t>
  </si>
  <si>
    <t xml:space="preserve">Generator Rental </t>
  </si>
  <si>
    <t>PI</t>
  </si>
  <si>
    <t>https://drive.google.com/file/d/1eD6AbmO2_EUDRbLkNT5B06VYNMLyH7oB/view?usp=drivesdk</t>
  </si>
  <si>
    <t>Fishery Smoke Detector</t>
  </si>
  <si>
    <t>https://drive.google.com/file/d/1gFUULUdQpDUYafXvjdOpe7VMOsWDA2Hv/view?usp=drivesdk</t>
  </si>
  <si>
    <t>COMPRESSOR REPLACEMENT VEG</t>
  </si>
  <si>
    <t>https://drive.google.com/file/d/1GCvolt8kpmoek0T2OaJq5klpKeU6tQD2/view?usp=drivesdk</t>
  </si>
  <si>
    <t>https://drive.google.com/file/d/17Y3lhHfpHYQ0pktUQx4kiBqXoWLCIHHa/view?usp=drivesdk</t>
  </si>
  <si>
    <t>https://drive.google.com/file/d/1QKDkbN_lyLYRG6FxQgokkFqG6cTnhHCN/view?usp=drivesdk</t>
  </si>
  <si>
    <t>QT/ERTS-AB-1504</t>
  </si>
  <si>
    <t xml:space="preserve">EXPANSION VALVE REPLACEMENT </t>
  </si>
  <si>
    <t>https://drive.google.com/file/d/1dBQ8rDCLcuUgj28Dq3lZ3tpw9xxVjQvD/view?usp=drivesdk</t>
  </si>
  <si>
    <t>71023/118</t>
  </si>
  <si>
    <t>Butchery Display Acrylic Cover</t>
  </si>
  <si>
    <t>https://drive.google.com/file/d/1rIgNfhBtb4PvFs-_3Wu6mQTwhFFnMq_0/view?usp=drivesdk</t>
  </si>
  <si>
    <t>EZ-QTN-2024-016-R2.2</t>
  </si>
  <si>
    <t>Kitchen Hood  CLEANING</t>
  </si>
  <si>
    <t>https://drive.google.com/file/d/1O-WkyhCQkn4dqoHSst_zBpWfLAXN7nQs/view?usp=drivesdk</t>
  </si>
  <si>
    <t>QT/ERTS-AB-1521</t>
  </si>
  <si>
    <t xml:space="preserve">Controller &amp; sensor </t>
  </si>
  <si>
    <t>https://drive.google.com/file/d/1ADovZUI3DX0asiUGnIGNwwqbhjQCEjQU/view?usp=drivesdk</t>
  </si>
  <si>
    <t>QT/ERTS-AB-1524</t>
  </si>
  <si>
    <t>Thermometer</t>
  </si>
  <si>
    <t>https://drive.google.com/file/d/1D3RSsHqIvNHe8lhmy6XW7LqUZUVfn6Bs/view?usp=drivesdk</t>
  </si>
  <si>
    <t>QT/ERTS-AB-1523</t>
  </si>
  <si>
    <t xml:space="preserve">Box Fan </t>
  </si>
  <si>
    <t>https://drive.google.com/file/d/1Qx6B_0bbsYnqhAJrjUjIXzF-fnHMnlJM/view?usp=drivesdk</t>
  </si>
  <si>
    <t>QT/ERTS-AB-1518</t>
  </si>
  <si>
    <t>UNDER COUNTER CHILLER COMPRESSOR</t>
  </si>
  <si>
    <t>https://drive.google.com/file/d/1m18lE15JDZoNgK6kNY1e-IU3e22gQwWT/view?usp=drivesdk</t>
  </si>
  <si>
    <t>QT/ERTS-AB-1517</t>
  </si>
  <si>
    <t>https://drive.google.com/file/d/1vIw4L9XeMDuIh03cDmJbTGnzNICTeOpL/view?usp=drivesdk</t>
  </si>
  <si>
    <t>QT/ERTS-AB-1507</t>
  </si>
  <si>
    <t>Bev Chiller</t>
  </si>
  <si>
    <t>https://drive.google.com/file/d/1UB1kNjiYzsUq328HQ-5NqRkbVozBrmZ5/view?usp=drivesdk</t>
  </si>
  <si>
    <t>QT/ERTS-AB-1511</t>
  </si>
  <si>
    <t>island freezer temp issue</t>
  </si>
  <si>
    <t>https://drive.google.com/file/d/1ZU9MZ3JFEA7ekBp_sIZUsuT73WFKeAEC/view?usp=drivesdk</t>
  </si>
  <si>
    <t>QT/ERTS-AB-1515</t>
  </si>
  <si>
    <t>HIGH TEMPERATURE ISSUE</t>
  </si>
  <si>
    <t>https://drive.google.com/file/d/1ZkO345dJGSUzojAvt5clq-zAfkFMScmc/view?usp=drivesdk</t>
  </si>
  <si>
    <t>QT/ERTS-AB-1516</t>
  </si>
  <si>
    <t xml:space="preserve">ICE BUILDUP </t>
  </si>
  <si>
    <t>https://drive.google.com/file/d/10QfEWQBul0GM5NBUx-5YhrhUa3CDn2cc/view?usp=drivesdk</t>
  </si>
  <si>
    <t>60909/118</t>
  </si>
  <si>
    <t>External Signage</t>
  </si>
  <si>
    <t>https://drive.google.com/file/d/1QEIsZmZd6sVAeL1i-5nGxIp9SLIZkXCG/view?usp=drivesdk</t>
  </si>
  <si>
    <t>ADM-QTN-24-680</t>
  </si>
  <si>
    <t>EXHAUST FAN FISHERY</t>
  </si>
  <si>
    <t>https://drive.google.com/file/d/1CuNF0q26Z68pQZwkhHm8XX0C5ABJdsRc/view?usp=drivesdk</t>
  </si>
  <si>
    <t>EZ-QTN-2024-016-R2.3</t>
  </si>
  <si>
    <t xml:space="preserve">Kitchen hood Cleaning </t>
  </si>
  <si>
    <t>https://drive.google.com/file/d/1J-aG8Vesec4tafff13Mf1GRngtkC5Z9l/view?usp=drivesdk</t>
  </si>
  <si>
    <t>TW/03/BS/PA/ALM/QQ</t>
  </si>
  <si>
    <t>QT/ERTS-AMC24/101-R2</t>
  </si>
  <si>
    <t>Ref AMC</t>
  </si>
  <si>
    <t>Monthly</t>
  </si>
  <si>
    <t>https://drive.google.com/file/d/1awYf5lTFy8U-pNqeMMoh-Y5fKwsteq34/view?usp=drivesdk</t>
  </si>
  <si>
    <t>71260/118</t>
  </si>
  <si>
    <t>ENTRANCE SIGNAGE LIGHT</t>
  </si>
  <si>
    <t>https://drive.google.com/file/d/1s1Iq34gQDq7hcXCf4h_6tyGlXaJpmL1u/view?usp=drivesdk</t>
  </si>
  <si>
    <t>71293/118</t>
  </si>
  <si>
    <t>CHILLER ACRYLIC DIVIDER</t>
  </si>
  <si>
    <t>https://drive.google.com/file/d/16SCY6aLyynaFGsHMBngdlKt3Jq78hix6/view?usp=drivesdk</t>
  </si>
  <si>
    <t>POWER GAS</t>
  </si>
  <si>
    <t>SOLENOID VALVE</t>
  </si>
  <si>
    <t>https://drive.google.com/file/d/1RDESfLNXuxmA5PVQ0H9qMN-KUx7Yxtq_/view?usp=drivesdk</t>
  </si>
  <si>
    <t>QT/ERTS-AB-1558</t>
  </si>
  <si>
    <t>COMPRESSOR OVERHAULING</t>
  </si>
  <si>
    <t>179 /2024</t>
  </si>
  <si>
    <t>Oven Glass</t>
  </si>
  <si>
    <t>https://drive.google.com/file/d/1tOYH0RTWz7-QzaiDuvl8iHpPK2gPbEqz/view?usp=drivesdk</t>
  </si>
  <si>
    <t>LPG WORKS</t>
  </si>
  <si>
    <t>2205001748 (ADQ.O&amp;M)</t>
  </si>
  <si>
    <t>Additional LPG connection</t>
  </si>
  <si>
    <t>https://drive.google.com/file/d/15n4mhe8L3ORS0PBLc2XgPzPXspbqE524/view?usp=drivesdk</t>
  </si>
  <si>
    <t>https://drive.google.com/file/d/1LA3z3liAHujDDkTVyvaZKpRtYQ-GR46c/view?usp=drivesdk</t>
  </si>
  <si>
    <t>QT/ERTS-AB-1569</t>
  </si>
  <si>
    <t xml:space="preserve">Condensor Fan Rewinding </t>
  </si>
  <si>
    <t>https://drive.google.com/file/d/1RVFtGfnxe1nlQzivwJ5w5BpvE0FZFO4l/view?usp=drivesdk</t>
  </si>
  <si>
    <t>EZ-QTN-2024-1153</t>
  </si>
  <si>
    <t>drain clean emergency call</t>
  </si>
  <si>
    <t>180/2024</t>
  </si>
  <si>
    <t xml:space="preserve">Refrigeration maintenance </t>
  </si>
  <si>
    <t>https://drive.google.com/file/d/1GtptCyQnNy5R_93x309mXJfY3hnPp9a9/view?usp=drivesdk</t>
  </si>
  <si>
    <t>GT/2024/11557</t>
  </si>
  <si>
    <t>PA SYSTEM RECTIFICATION</t>
  </si>
  <si>
    <t>https://drive.google.com/file/d/1bANESRQBlP2R463kzZfXqxp1WUjkcnUE/view?usp=drivesdk</t>
  </si>
  <si>
    <t>GT/2024/11545</t>
  </si>
  <si>
    <t xml:space="preserve">screen </t>
  </si>
  <si>
    <t>https://drive.google.com/file/d/1qDpOAe_cUxoJgYkTp7yhxBIDt_3EtY16/view?usp=drivesdk</t>
  </si>
  <si>
    <t>GITCO</t>
  </si>
  <si>
    <t>GPH2414/08/2024</t>
  </si>
  <si>
    <t xml:space="preserve">FORKLIFT </t>
  </si>
  <si>
    <t>https://drive.google.com/file/d/1D9k5yeAFVr_SHcWHM8nrdsgJXaIHxNt5/view?usp=drivesdk</t>
  </si>
  <si>
    <t>181/2024</t>
  </si>
  <si>
    <t xml:space="preserve">Hydraulic Docking </t>
  </si>
  <si>
    <t>https://drive.google.com/file/d/1JWHCmruDl_O4hoVZQcaJpM52ePtDTGgE/view?usp=drivesdk</t>
  </si>
  <si>
    <t xml:space="preserve">AC Cover MS </t>
  </si>
  <si>
    <t>https://drive.google.com/file/d/15-lHohkmJlRi1LLRNlemWcSt6Lj2mhrY/view?usp=drivesdk</t>
  </si>
  <si>
    <t>71577/118</t>
  </si>
  <si>
    <t xml:space="preserve">fv table acrylic </t>
  </si>
  <si>
    <t>https://drive.google.com/file/d/1FQ7D4wK_gFv7KJ4zwc1MtOS24I_3YKxo/view?usp=drivesdk</t>
  </si>
  <si>
    <t>185/2024</t>
  </si>
  <si>
    <t>Chicken Griller Glass Door</t>
  </si>
  <si>
    <t>https://drive.google.com/file/d/1DA4DVw3WGfibUesI3nv9aQBcHErW3zaL/view?usp=drivesdk</t>
  </si>
  <si>
    <t xml:space="preserve">Air Curtain </t>
  </si>
  <si>
    <t>https://drive.google.com/file/d/1qbvbc_1l0syQ-tU-_ni4F1sesLqFkuyY/view?usp=drivesdk</t>
  </si>
  <si>
    <t>182/2024</t>
  </si>
  <si>
    <t>High Speed Shutter Door Control Board</t>
  </si>
  <si>
    <t>https://drive.google.com/file/d/1FoNEGsdnaN988UvvsewYSBdUzfV1_m3U/view?usp=drivesdk</t>
  </si>
  <si>
    <t>183/2024</t>
  </si>
  <si>
    <t xml:space="preserve">Dry Age Chiller Exhaust Fan </t>
  </si>
  <si>
    <t>https://drive.google.com/file/d/1VPwjl1Xr5XTHxX1iywb3SFXggxNCSfDu/view?usp=drivesdk</t>
  </si>
  <si>
    <t>QT/ERTS-AB-1615</t>
  </si>
  <si>
    <t xml:space="preserve">Controller Replacement </t>
  </si>
  <si>
    <t>https://drive.google.com/file/d/1idoJJVnftA7L3hsehZBd3e2jjD7Z8_dL/view?usp=drivesdk</t>
  </si>
  <si>
    <t>184/2024</t>
  </si>
  <si>
    <t>https://drive.google.com/file/d/19VjhHNp6MhoUeOJmczdZIOPNp3PnpHqh/view?usp=drivesdk</t>
  </si>
  <si>
    <t>24MNT-09-OTC-0768-0</t>
  </si>
  <si>
    <t>Generator Service</t>
  </si>
  <si>
    <t>https://drive.google.com/file/d/15EpZIGBghshIkfdhTE2QSH1zJA7m25tq/view?usp=drivesdk</t>
  </si>
  <si>
    <t>ADM-QTN-24-1124</t>
  </si>
  <si>
    <t>PCB board rectification</t>
  </si>
  <si>
    <t>https://drive.google.com/file/d/1FfawD-MByEOudEjn91zkBVedS7trIar7/view?usp=drivesdk</t>
  </si>
  <si>
    <t>ADM-QTN-24-1128</t>
  </si>
  <si>
    <t xml:space="preserve">SUPRESSION SYSTEM </t>
  </si>
  <si>
    <t>https://drive.google.com/file/d/1f6ck8YROS7wyEPuPfDXhS2yNKbbOIZol/view?usp=drivesdk</t>
  </si>
  <si>
    <t>ADM-QTN-24-1125</t>
  </si>
  <si>
    <t xml:space="preserve">AHU Bearing Rectification </t>
  </si>
  <si>
    <t>https://drive.google.com/file/d/1f1uhpAd2PB95qVIEL5ko9EeMD8-yG990/view?usp=drivesdk</t>
  </si>
  <si>
    <t>ADM-QTN-24-1127</t>
  </si>
  <si>
    <t>ELEC ROOM AC CONTACTOR &amp; CAPSITOR</t>
  </si>
  <si>
    <t>https://drive.google.com/file/d/1y3LB2IMUOtZg-lmW2rcMtdZUEq8B5Rat/view?usp=drivesdk</t>
  </si>
  <si>
    <t>ADM-QTN-24-1126</t>
  </si>
  <si>
    <t xml:space="preserve">FAN BELT REPLACEMENT </t>
  </si>
  <si>
    <t>https://drive.google.com/file/d/1qjIKASUss60I1kUCdu-SHalG2BkCPEKe/view?usp=drivesdk</t>
  </si>
  <si>
    <t>QT/ERTS-AB-1627-R1</t>
  </si>
  <si>
    <t>Chiller Dismantling</t>
  </si>
  <si>
    <t>https://drive.google.com/file/d/1fndFRyqGSD-9sYJS9eIrgzaY1EBxM64D/view?usp=drivesdk</t>
  </si>
  <si>
    <t>QN30-073607-1</t>
  </si>
  <si>
    <t xml:space="preserve">Mincer Machine </t>
  </si>
  <si>
    <t>https://drive.google.com/file/d/19ZYeeBL2IngK2n0OAbmrovxt2pieqP0f/view?usp=drivesdk</t>
  </si>
  <si>
    <t>ADM-QTN-24-1077</t>
  </si>
  <si>
    <t>https://drive.google.com/file/d/15tWIIspk7ApbwBZr9bAgnbSU6w8C52Ta/view?usp=drivesdk</t>
  </si>
  <si>
    <t>ADM-QTN-24-1059</t>
  </si>
  <si>
    <t xml:space="preserve">FA DEVICES REPLACEMENT </t>
  </si>
  <si>
    <t>https://drive.google.com/file/d/1XnG6-HzixlDQVgPBuGTKSCLQ-LLQk8E8/view?usp=drivesdk</t>
  </si>
  <si>
    <t>ADM-QTN-24-795</t>
  </si>
  <si>
    <t>HVAC Rectification</t>
  </si>
  <si>
    <t>https://drive.google.com/file/d/1oIYShtBZOEJMiYhh8CPp2gBgM-yJyV1l/view?usp=drivesdk</t>
  </si>
  <si>
    <t>ADM-QTN-24-783</t>
  </si>
  <si>
    <t xml:space="preserve">FANBELT REPLACEMENT </t>
  </si>
  <si>
    <t>https://drive.google.com/file/d/1q4P9ZienqYwPOPjQRhehe3r0LX9zU2Qm/view?usp=drivesdk</t>
  </si>
  <si>
    <t>ADM-QTN-24-848</t>
  </si>
  <si>
    <t xml:space="preserve">FA Rectification </t>
  </si>
  <si>
    <t>https://drive.google.com/file/d/1AenKiUKgZI1ee13FIT2txYWbsjQpneEt/view?usp=drivesdk</t>
  </si>
  <si>
    <t>186/2024</t>
  </si>
  <si>
    <t>Bakery Chiller Repair</t>
  </si>
  <si>
    <t>https://drive.google.com/file/d/1sIg6EJKIgsxZlA4EWpFH-XUOGokm_JrT/view?usp=drivesdk</t>
  </si>
  <si>
    <t>ADM-QTN-24-1200</t>
  </si>
  <si>
    <t>https://drive.google.com/file/d/1wN7wt8716O8bcYKHkWz3MkxBYJjHXg54/view?usp=drivesdk</t>
  </si>
  <si>
    <t>ADM-QTN-24-1201</t>
  </si>
  <si>
    <t>https://drive.google.com/file/d/1WsAFfznFiAk05vjzrIbBoUY1T8dfcEqq/view?usp=drivesdk</t>
  </si>
  <si>
    <t>ADM-QTN-24-849-R1</t>
  </si>
  <si>
    <t>Fire Protection systems QCD COMMENTS</t>
  </si>
  <si>
    <t>https://drive.google.com/file/d/1pZe5Tu5ZrZmwBeCDP7k3uJruG92qMxBw/view?usp=drivesdk</t>
  </si>
  <si>
    <t>ADM-QTN-24-949-R1</t>
  </si>
  <si>
    <t>Fixing Receiving Area AC</t>
  </si>
  <si>
    <t>https://drive.google.com/file/d/1nqnZOcv2IjX9-5-6atDt05NzQpd4fiHl/view?usp=drivesdk</t>
  </si>
  <si>
    <t>187/2024</t>
  </si>
  <si>
    <t>RATIONAL OVEN STEAM PIPE</t>
  </si>
  <si>
    <t>https://drive.google.com/file/d/17PJNvO_SNAYdqBKCiFeBL_wlb5LH1us7/view?usp=drivesdk</t>
  </si>
  <si>
    <t xml:space="preserve">EDGE ENGINEERING </t>
  </si>
  <si>
    <t>786-110-NH-012</t>
  </si>
  <si>
    <t>Jack Pallet Trolley</t>
  </si>
  <si>
    <t>30 DAYS PDC</t>
  </si>
  <si>
    <t>pi</t>
  </si>
  <si>
    <t>https://drive.google.com/file/d/1VU7ktrmivctO72WLc6919x84DMXi7CkU/view?usp=drivesdk</t>
  </si>
  <si>
    <t>Sushi Room Wall tiles</t>
  </si>
  <si>
    <t>https://drive.google.com/file/d/1xh-Y_XJ8a9_yKSr2v2u4FbpGkJa36dnW/view?usp=drivesdk</t>
  </si>
  <si>
    <t>71830/118</t>
  </si>
  <si>
    <t>Signage Removal</t>
  </si>
  <si>
    <t>https://drive.google.com/file/d/1HlFiLl2cdS23P4ohbBCqjmksa5XcI7it/view?usp=drivesdk</t>
  </si>
  <si>
    <t xml:space="preserve">BOH Tile Installation </t>
  </si>
  <si>
    <t>https://drive.google.com/file/d/1mT-TSA_7p0rAOec8bi5dLPcyoMa0Hdt7/view?usp=drivesdk</t>
  </si>
  <si>
    <t>ADM-QTN-24-1356</t>
  </si>
  <si>
    <t>EXHAUST FAN belt</t>
  </si>
  <si>
    <t>https://drive.google.com/file/d/1BJYrNO0jmIObwf7Ojb-RGBVyHqiGTM7P/view?usp=drivesdk</t>
  </si>
  <si>
    <t>QT/ERTS-AB-1656</t>
  </si>
  <si>
    <t>https://drive.google.com/file/d/1OpmaznmMZOjK4xmehwEe55m30nviszwp/view?usp=drivesdk</t>
  </si>
  <si>
    <t>QT/ERTS-AB-1647</t>
  </si>
  <si>
    <t xml:space="preserve">Gas Refilling </t>
  </si>
  <si>
    <t>https://drive.google.com/file/d/1ZPUJfy3RBj1zGYZ6gM7makZLvZLBkL5h/view?usp=drivesdk</t>
  </si>
  <si>
    <t>71952/118</t>
  </si>
  <si>
    <t>https://drive.google.com/file/d/1SL-ZQ0cZWS55ODOqz71gIth5giX8GSVx/view?usp=drivesdk</t>
  </si>
  <si>
    <t>AL MUNEERA TRADING</t>
  </si>
  <si>
    <t>QT MT-2024-214</t>
  </si>
  <si>
    <t>Syrian Dough Sheeter</t>
  </si>
  <si>
    <t xml:space="preserve">100% ADVANCE </t>
  </si>
  <si>
    <t>https://drive.google.com/file/d/1BAA-HZLQifB1_ydrl1wL7LC-XdFq-QwB/view?usp=drivesdk</t>
  </si>
  <si>
    <t>QT/ERTS-AB-1644</t>
  </si>
  <si>
    <t>compressor retrofit</t>
  </si>
  <si>
    <t xml:space="preserve">65% ADVANCE 35% UPON COMPLETION </t>
  </si>
  <si>
    <t>https://drive.google.com/file/d/1FyRdWaQ93M1brWDNwf56CuypEQilvf1b/view?usp=drivesdk</t>
  </si>
  <si>
    <t>QT/ERTS-AB-1665</t>
  </si>
  <si>
    <t>https://drive.google.com/file/d/1akYwwf-rv_aO1wCGAN7ymP7ZTTkI7Kef/view?usp=drivesdk</t>
  </si>
  <si>
    <t>QT/ERTS-AB-1586</t>
  </si>
  <si>
    <t>LT Compressor Overhauling</t>
  </si>
  <si>
    <t>https://drive.google.com/file/d/1zWurv7uikprvDa-uoggKRwUA52gBwAON/view?usp=drivesdk</t>
  </si>
  <si>
    <t>EZ-QTN-2024-1186</t>
  </si>
  <si>
    <t>https://drive.google.com/file/d/1YttIBi8n3tRWaViwNGswnxKrTmQ03pNV/view?usp=drivesdk</t>
  </si>
  <si>
    <t>72008/118</t>
  </si>
  <si>
    <t xml:space="preserve">FV Acrylic Basket Divider </t>
  </si>
  <si>
    <t>https://drive.google.com/file/d/10ti6wnTUvXopsnZF1UKqApyutbeKCZ2c/view?usp=drivesdk</t>
  </si>
  <si>
    <t>ADM-QTN-24-1430</t>
  </si>
  <si>
    <t xml:space="preserve">EMERGENCY LIGHT </t>
  </si>
  <si>
    <t>https://drive.google.com/file/d/1ixvwFn3nuAoIF30mbbXBh0k3Sdqyha7z/view?usp=drivesdk</t>
  </si>
  <si>
    <t>QT/ERTS-AB-1675</t>
  </si>
  <si>
    <t xml:space="preserve">COLD ROOM SENCOR </t>
  </si>
  <si>
    <t>https://drive.google.com/file/d/1pJM5uL3sK9szOL8WgOflbbWAzOkFc6gx/view?usp=drivesdk</t>
  </si>
  <si>
    <t>QT/ERTS-AB-1674</t>
  </si>
  <si>
    <t>https://drive.google.com/file/d/1c_YDLWLRg0gQjjb8_bYhjl2XTVSU8AMu/view?usp=drivesdk</t>
  </si>
  <si>
    <t>71997/118</t>
  </si>
  <si>
    <t>https://drive.google.com/file/d/1wu4do5osVsXBWI3AFejHsdO4HwJZBhdW/view?usp=drivesdk</t>
  </si>
  <si>
    <t>QT/ERTS-AB-1676</t>
  </si>
  <si>
    <t>https://drive.google.com/file/d/1nI5AdJM4sAeijsE84oGXTA_FpNEERU3j/view?usp=drivesdk</t>
  </si>
  <si>
    <t>QT/ERTS-AB-1677-R1</t>
  </si>
  <si>
    <t>https://drive.google.com/file/d/1y5EaInPecGQ2aZq_-znYTLcva0LREFT0/view?usp=drivesdk</t>
  </si>
  <si>
    <t>ADM-QTN-24-1429-R1</t>
  </si>
  <si>
    <t>Fresh Air Fan Installation</t>
  </si>
  <si>
    <t>https://drive.google.com/file/d/1hVkTQVp0Nlk_DNou04RCO7X22vm1rdtL/view?usp=drivesdk</t>
  </si>
  <si>
    <t>QT/ERTS-AB-1646</t>
  </si>
  <si>
    <t xml:space="preserve">70% ADVANCE 30% UPON COMPLETION </t>
  </si>
  <si>
    <t>https://drive.google.com/file/d/1jbB2obx9q4kjrQRIzy9h-rmyWbZWPGb7/view?usp=drivesdk</t>
  </si>
  <si>
    <t>QT/ERTS-AB-1688</t>
  </si>
  <si>
    <t>Compressor Installation FV</t>
  </si>
  <si>
    <t>https://drive.google.com/file/d/1EYh9j-vm7YnfurZXfEHEVZLmIqB_akEP/view?usp=drivesdk</t>
  </si>
  <si>
    <t>KFILTER</t>
  </si>
  <si>
    <t>AFXX-7303-11-24REV1</t>
  </si>
  <si>
    <t xml:space="preserve">Ecology Units Filter </t>
  </si>
  <si>
    <t>https://drive.google.com/file/d/1GB1UqPtqno_4Ia6HMQW8SHYUvzbEVLrX/view?usp=drivesdk</t>
  </si>
  <si>
    <t>ADM-QTN-24-1462</t>
  </si>
  <si>
    <t xml:space="preserve">QCD rectification </t>
  </si>
  <si>
    <t>https://drive.google.com/file/d/1bYra9aotecRn4CbpcPB63aUIWti9BrJX/view?usp=drivesdk</t>
  </si>
  <si>
    <t>EZ-QTN-2024-0180</t>
  </si>
  <si>
    <t>https://drive.google.com/file/d/13YBa-Iv7xZ4zuLtmrtvT4fFf6pRaB1Ox/view?usp=drivesdk</t>
  </si>
  <si>
    <t>QT/ERTS-AB-1689</t>
  </si>
  <si>
    <t xml:space="preserve">BS Rectification Work </t>
  </si>
  <si>
    <t>https://drive.google.com/file/d/1uiE7ALt0RUCroH37b4tfP5j_5Epy0nbE/view?usp=drivesdk</t>
  </si>
  <si>
    <t>QT/ERTS-AB-1690-R1</t>
  </si>
  <si>
    <t xml:space="preserve">BS controll panel rewiring </t>
  </si>
  <si>
    <t>https://drive.google.com/file/d/1iMns12j-F-iFT9zc1YG0Qtq9M3IhNrmY/view?usp=drivesdk</t>
  </si>
  <si>
    <t>FAH</t>
  </si>
  <si>
    <t>FAH/M/241104-568</t>
  </si>
  <si>
    <t xml:space="preserve">Ice cream Machine rectification </t>
  </si>
  <si>
    <t xml:space="preserve">80% ADVANCE 20% AFTER COMPLETION </t>
  </si>
  <si>
    <t>https://drive.google.com/file/d/1uVoQ_i6tMy7Uiy4XGGFcCePA8C865i7J/view?usp=drivesdk</t>
  </si>
  <si>
    <t xml:space="preserve">Kiosk Mirror replacement </t>
  </si>
  <si>
    <t>BAKERY DISPLAY TABLE</t>
  </si>
  <si>
    <t>https://drive.google.com/file/d/1hib33gEbgIEQVIWM0-P_u8wx8PTB3FIu/view?usp=drivesdk</t>
  </si>
  <si>
    <t>QT/ERTS-AB-1707</t>
  </si>
  <si>
    <t>Under counter chiller controller</t>
  </si>
  <si>
    <t>https://drive.google.com/file/d/1SIkiPDo4oVlZMCCtM8mfY9D4LBlsa0q9/view?usp=drivesdk</t>
  </si>
  <si>
    <t>QN30-077091-1</t>
  </si>
  <si>
    <t xml:space="preserve">Mincer For Builtong </t>
  </si>
  <si>
    <t>https://drive.google.com/file/d/1bAA7DHa6PFVOHAU-RdmmJdZ21hehzW-3/view?usp=drivesdk</t>
  </si>
  <si>
    <t>QT/ERTS-AB-1708</t>
  </si>
  <si>
    <t xml:space="preserve">Cold room rectification </t>
  </si>
  <si>
    <t>https://drive.google.com/file/d/1F39bAmepOVs2dNV_PfxDF3PXrVKQcd8Z/view?usp=drivesdk</t>
  </si>
  <si>
    <t>ADM-QTN-24-1165</t>
  </si>
  <si>
    <t>EXTINGUISHER REFILLING</t>
  </si>
  <si>
    <t>https://drive.google.com/file/d/1V5CXBDcVGbWX3XRuwkRr7jWFtXyQFRQs/view?usp=drivesdk</t>
  </si>
  <si>
    <t>ADM-QTN-24-1686</t>
  </si>
  <si>
    <t xml:space="preserve">EX FAN FILTER REPLACEMENT </t>
  </si>
  <si>
    <t>https://drive.google.com/file/d/1UB8eVEYnT1-BBiS3d0sSzvbxw4myl_fL/view?usp=drivesdk</t>
  </si>
  <si>
    <t>ADM-QTN-24-1687</t>
  </si>
  <si>
    <t xml:space="preserve">THERMOSTAT &amp; EMERGENCY LIGHT </t>
  </si>
  <si>
    <t>https://drive.google.com/file/d/1KK5KI282Nzh_66k3ZLjW4drGUUMyYrqg/view?usp=drivesdk</t>
  </si>
  <si>
    <t>ADM-QTN-24-1691</t>
  </si>
  <si>
    <t xml:space="preserve">AC GAS LEAK RECTIFICATION </t>
  </si>
  <si>
    <t>https://drive.google.com/file/d/1uHGVwSF1QiBDqjqhwoNCtF7T7lKs0t8I/view?usp=drivesdk</t>
  </si>
  <si>
    <t>FAH/M/241230-592</t>
  </si>
  <si>
    <t>https://drive.google.com/file/d/1hW5hc_YsC_yaOuPjmsIg5HRXXyWPdh7E/view?usp=drivesdk</t>
  </si>
  <si>
    <t>QT/ERTS-AB-1710</t>
  </si>
  <si>
    <t xml:space="preserve">compressor retro fit </t>
  </si>
  <si>
    <t>https://drive.google.com/file/d/1zBfQIWKYLcItwdIRYD67izeGT5b2F0bU/view?usp=drivesdk</t>
  </si>
  <si>
    <t>72551/118</t>
  </si>
  <si>
    <t xml:space="preserve">Acrylic Devider </t>
  </si>
  <si>
    <t>https://drive.google.com/file/d/1WSboVf_hfqBxTSoR0vONLc4Z-lbltOUz/view?usp=drivesdk</t>
  </si>
  <si>
    <t xml:space="preserve">RUMAILAH </t>
  </si>
  <si>
    <t>RW-Q/554-24/DD-534/VVK-234/DR</t>
  </si>
  <si>
    <t xml:space="preserve">Shutter door mainatenance </t>
  </si>
  <si>
    <t>https://drive.google.com/file/d/17UE4GA00AE7j2mnXU9BsYn9vSgtZfUpd/view?usp=drivesdk</t>
  </si>
  <si>
    <t>FISHERY STAND</t>
  </si>
  <si>
    <t>https://drive.google.com/file/d/1A_UQVzsiBuL4RpqYk7vmD4lvyIGp2gjB/view?usp=drivesdk</t>
  </si>
  <si>
    <t xml:space="preserve">HMR Chair &amp; Table Refurbushment </t>
  </si>
  <si>
    <t>https://drive.google.com/file/d/19qFVq03q7QMMq9oW2eUwdKAgI2qwpF8M/view?usp=drivesdk</t>
  </si>
  <si>
    <t xml:space="preserve">Self checkout area glass partiton </t>
  </si>
  <si>
    <t>https://drive.google.com/file/d/1TirGF1IUaOjgY3_hu2YbUpJyFgwi5Plj/view?usp=drivesdk</t>
  </si>
  <si>
    <t>QN30-077380-2</t>
  </si>
  <si>
    <t xml:space="preserve">Orange Juicer </t>
  </si>
  <si>
    <t>https://drive.google.com/file/d/1y2Et-ZTB47oGuJ-7jW8UQv47Utn8sj7-/view?usp=drivesdk</t>
  </si>
  <si>
    <t>72575/118</t>
  </si>
  <si>
    <t>https://drive.google.com/file/d/1LRJy7rzIVUytLR0w-qDxmbm719p-LnM2/view?usp=drivesdk</t>
  </si>
  <si>
    <t>72600/118</t>
  </si>
  <si>
    <t xml:space="preserve">Façade Sticker </t>
  </si>
  <si>
    <t>https://drive.google.com/file/d/1YsyfGZUGMg8DMWQaBKdmxeu8l9s6F9fh/view?usp=drivesdk</t>
  </si>
  <si>
    <t>QN30-077845-1</t>
  </si>
  <si>
    <t>Hot Display</t>
  </si>
  <si>
    <t>https://drive.google.com/file/d/1KwOwJiB49EfZ59BCYbzz573BHr4hs8TA/view?usp=drivesdk</t>
  </si>
  <si>
    <t>QT/ERTS-AB-1715</t>
  </si>
  <si>
    <t>Cold room heater</t>
  </si>
  <si>
    <t>https://drive.google.com/file/d/1513sQe_DR0mDD_9aFO99fwuUzzM1gDsA/view?usp=drivesdk</t>
  </si>
  <si>
    <t>QT/ERTS-AB-1720</t>
  </si>
  <si>
    <t xml:space="preserve">Glass Sliding Door </t>
  </si>
  <si>
    <t>https://drive.google.com/file/d/1gRgrSKOEkGU-feUn7AUsHQCo9kbsepDd/view?usp=drivesdk</t>
  </si>
  <si>
    <t>ADM-QTN-25-153</t>
  </si>
  <si>
    <t>Emergency Light</t>
  </si>
  <si>
    <t>https://drive.google.com/file/d/1SPYWQJCchRruZ6XnuAYbr5VTpkHbjdyu/view?usp=drivesdk</t>
  </si>
  <si>
    <t>ADM-QTN-25-152</t>
  </si>
  <si>
    <t>MCP COVER</t>
  </si>
  <si>
    <t>https://drive.google.com/file/d/1ul9VgTXD3hXr7nodEdPVOjLw0lsOc5TX/view?usp=drivesdk</t>
  </si>
  <si>
    <t>PG/APM/2490-24/Rev.0l</t>
  </si>
  <si>
    <t>https://drive.google.com/file/d/12MnplEQ1hx0xwazkhvmMW3qH_itE2ZVu/view?usp=drivesdk</t>
  </si>
  <si>
    <t>QT/ERTS-AB-1724</t>
  </si>
  <si>
    <t>CONTROLLER</t>
  </si>
  <si>
    <t>https://drive.google.com/file/d/1Y3kVXTRA2BJEHATwWT8mNQTaCxUmm8YU/view?usp=drivesdk</t>
  </si>
  <si>
    <t>RW-Q/032-25/DD-032/FP-238/DR</t>
  </si>
  <si>
    <t xml:space="preserve">receiving Dock repair </t>
  </si>
  <si>
    <t>https://drive.google.com/file/d/1pU5zXubH2ZQku3hssY-T7Ok0V3Por4LB/view?usp=drivesdk</t>
  </si>
  <si>
    <t>POLIMERO</t>
  </si>
  <si>
    <t>101/2025</t>
  </si>
  <si>
    <t>https://drive.google.com/file/d/1I6N3S18aIMkmhyEHhg44TBo3Df_VYQ71/view?usp=drivesdk</t>
  </si>
  <si>
    <t>QT/ERTS-AB-1733</t>
  </si>
  <si>
    <t>controller</t>
  </si>
  <si>
    <t>https://drive.google.com/file/d/1goQtCxWeV2vp9ppWdSOxfM1bnuVlSH1J/view?usp=drivesdk</t>
  </si>
  <si>
    <t>QT/ERTS-AB-1732</t>
  </si>
  <si>
    <t>https://drive.google.com/file/d/1Lyk_xWrNrLgWzImA8vcp0lFnfjuzT31F/view?usp=drivesdk</t>
  </si>
  <si>
    <t>GT/2025/11931</t>
  </si>
  <si>
    <t xml:space="preserve">TV SCREEN </t>
  </si>
  <si>
    <t>https://drive.google.com/file/d/18PgN26Ri_9OSmaDTKLOqRa-eoSWIOHS4/view?usp=drivesdk</t>
  </si>
  <si>
    <t xml:space="preserve">Glass Door </t>
  </si>
  <si>
    <t>QT/ERTS-AB-1738</t>
  </si>
  <si>
    <t>https://drive.google.com/file/d/1T22lKMnyDbk5EuDyJw2fHSTKSR7sZagw/view?usp=drivesdk</t>
  </si>
  <si>
    <t xml:space="preserve">Deli Display Stand </t>
  </si>
  <si>
    <t>https://drive.google.com/file/d/1VNtOJK9xjhE2NMkt_ci17FfBeAR_mufU/view?usp=drivesdk</t>
  </si>
  <si>
    <t xml:space="preserve">Ramdan &amp; Bakery Display Stand </t>
  </si>
  <si>
    <t>https://drive.google.com/file/d/1nuVy5zZ48cjhjTGRUR5owq5L1EnWJ6OD/view?usp=drivesdk</t>
  </si>
  <si>
    <t>QT/ERTS-AB-1740</t>
  </si>
  <si>
    <t xml:space="preserve">Evaporator Heater </t>
  </si>
  <si>
    <t>https://drive.google.com/file/d/1m7mxOmKk-4HcLWxp4P3NoZcZK4rTpJOo/view?usp=drivesdk</t>
  </si>
  <si>
    <t>QT/ERTS-AB-1741</t>
  </si>
  <si>
    <t>https://drive.google.com/file/d/1sP80ecl-cIrzpBZg25YSet96X2BliVH3/view?usp=drivesdk</t>
  </si>
  <si>
    <t>ADM-QTN-25-225</t>
  </si>
  <si>
    <t xml:space="preserve">AHU BLOWER BEARING </t>
  </si>
  <si>
    <t>https://drive.google.com/file/d/1KGd-qdiD5YFpmkgDB3S0aapWHyqGAcZW/view?usp=drivesdk</t>
  </si>
  <si>
    <t>ADM-QTN-25-226</t>
  </si>
  <si>
    <t xml:space="preserve">LEAKAGE RECTIFICATION </t>
  </si>
  <si>
    <t>https://drive.google.com/file/d/1oWKrOaxV2qKRFVC7aTdpVDWaqbeVe0gz/view?usp=drivesdk</t>
  </si>
  <si>
    <t xml:space="preserve">CLUSTER </t>
  </si>
  <si>
    <t>PAQQALMALJ</t>
  </si>
  <si>
    <t>CCTV AMC</t>
  </si>
  <si>
    <t>CTS/QTN/NJ/SR/10022025003</t>
  </si>
  <si>
    <t xml:space="preserve">CCTV AMC </t>
  </si>
  <si>
    <t>https://drive.google.com/file/d/1vhjGs1zhsZZ4ZSCtsamsu-dz36Dl7Y9o/view?usp=drivesdk</t>
  </si>
  <si>
    <t>102/2025</t>
  </si>
  <si>
    <t xml:space="preserve">Oven removal </t>
  </si>
  <si>
    <t>QT/ERTS-AB-1755</t>
  </si>
  <si>
    <t>COLDROOM EVAPORATOR AXIAL FAN</t>
  </si>
  <si>
    <t>https://drive.google.com/file/d/1_3iExIbn6EFw128jpGP3NESDBev6RalE/view?usp=drivesdk</t>
  </si>
  <si>
    <t>FOR ALL TRADING</t>
  </si>
  <si>
    <t>03/ALM</t>
  </si>
  <si>
    <t>QUOTE:551579</t>
  </si>
  <si>
    <t>E SCOOTER</t>
  </si>
  <si>
    <t>https://drive.google.com/file/d/1MHvvAHaaul1wUf6bFvpYTNqnDPfqbYUE/view?usp=drivesdk</t>
  </si>
  <si>
    <t>ADM-QTN-25-415</t>
  </si>
  <si>
    <t xml:space="preserve">PA Amplifier </t>
  </si>
  <si>
    <t>issued</t>
  </si>
  <si>
    <t>https://drive.google.com/file/d/1GNQ-K8iSIhkuVpb12159clV_w1Q0Z_xz/view?usp=drivesdk</t>
  </si>
  <si>
    <t>QN30-079480-1</t>
  </si>
  <si>
    <t>SAUSAGE FILLER</t>
  </si>
  <si>
    <t xml:space="preserve">Petty Cash </t>
  </si>
  <si>
    <t>https://drive.google.com/file/d/1ost8bRxvlLz4KlvsUJ2zGGleUZ7oTq4o/view?usp=drivesdk</t>
  </si>
  <si>
    <t xml:space="preserve">CCTV MAINTENANCE </t>
  </si>
  <si>
    <t>CTS/QTN/NJ/SR/26022025002R2</t>
  </si>
  <si>
    <t xml:space="preserve">CCTV MOI RECTIFICATION </t>
  </si>
  <si>
    <t xml:space="preserve">50%ADVANCE </t>
  </si>
  <si>
    <t>ADM-QTN-25-471</t>
  </si>
  <si>
    <t>09/03/20225</t>
  </si>
  <si>
    <t>https://drive.google.com/file/d/1vuxlEfJYD7DyzMqG5uxUL2d4MH8TLqjz/view?usp=drivesdk</t>
  </si>
  <si>
    <t>QT/ERTS-AB-1788</t>
  </si>
  <si>
    <t>https://drive.google.com/file/d/1_woRtEZvw1cxiBN4x47Er73uH0jn4jW5/view?usp=drivesdk</t>
  </si>
  <si>
    <t>QT/ERTS-AB-1787</t>
  </si>
  <si>
    <t>Evaporator Fan Motor</t>
  </si>
  <si>
    <t>https://drive.google.com/file/d/1eCIPpQ8ldzIOq45Wr-ZnPRjolMcSpHgw/view?usp=drivesdk</t>
  </si>
  <si>
    <t>QT/ERTS-AB-1744</t>
  </si>
  <si>
    <t>COLD ROOM ICE BUILDUP</t>
  </si>
  <si>
    <t>https://drive.google.com/file/d/1fQeXLtjy-xrGqArCQd9ldRMI7uHEgEWd/view?usp=drivesdk</t>
  </si>
  <si>
    <t>QT/ERTS-AB-1749</t>
  </si>
  <si>
    <t xml:space="preserve">FV CHILLER TEMPERATURE </t>
  </si>
  <si>
    <t>https://drive.google.com/file/d/18rMJpCeeiYkfXt66TiU3HJszg4O8ymU4/view?usp=drivesdk</t>
  </si>
  <si>
    <t>QT/ERTS-AB-1750</t>
  </si>
  <si>
    <t xml:space="preserve">DRY AGE CHILLER SHORT CIRCUITE </t>
  </si>
  <si>
    <t>https://drive.google.com/file/d/1AvyuBLTrqVSeAonTrpXnxz2xSHs3pYRE/view?usp=drivesdk</t>
  </si>
  <si>
    <t>FAH/M/250316-056</t>
  </si>
  <si>
    <t xml:space="preserve">OVEN MOTOR WINDING </t>
  </si>
  <si>
    <t>https://drive.google.com/file/d/1qWV7yAtedkF2R3Q6el73nQ8PMiKwT8Pf/view?usp=drivesdk</t>
  </si>
  <si>
    <t>GT/2025/12107</t>
  </si>
  <si>
    <t>https://drive.google.com/file/d/16Fk2_b2ezkcQjG_Gn2UMTqvnWJAXh9rE/view?usp=drivesdk</t>
  </si>
  <si>
    <t>ADM-QTN-25-534</t>
  </si>
  <si>
    <t xml:space="preserve">AHU Motor rectification </t>
  </si>
  <si>
    <t>https://drive.google.com/file/d/1FC86XaTa6GOCUtPDXwF7Kdaivyzy6Y3f/view?usp=drivesdk</t>
  </si>
  <si>
    <t>GT/2025/12125</t>
  </si>
  <si>
    <t xml:space="preserve">TV SCREEN CLOUD LICENSE </t>
  </si>
  <si>
    <t>https://drive.google.com/file/d/1GEAb-kLrle-Lu-zyJ9UKPTKD95bexGxM/view?usp=drivesdk</t>
  </si>
  <si>
    <t>ADM-QTN-25-533</t>
  </si>
  <si>
    <t xml:space="preserve">AHU MOTOR AND BEARING </t>
  </si>
  <si>
    <t>https://drive.google.com/file/d/11IaJQGs_EPcFlDMg3cEMAzY2E58STLVF/view?usp=drivesdk</t>
  </si>
  <si>
    <t>FAH/M/250324-060</t>
  </si>
  <si>
    <t xml:space="preserve">Motor rewinding oven </t>
  </si>
  <si>
    <t>https://drive.google.com/file/d/1iLC2RbmN-UuYMGy7U51Xo24vTH_93enN/view?usp=drivesdk</t>
  </si>
  <si>
    <t>73025/118</t>
  </si>
  <si>
    <t xml:space="preserve">FV Acrylic Divider </t>
  </si>
  <si>
    <t>https://drive.google.com/file/d/1c_Bj5OFhdOhGd66KXG0JUstQy-dHSKZj/view?usp=drivesdk</t>
  </si>
  <si>
    <t xml:space="preserve">Bakery Ceiling </t>
  </si>
  <si>
    <t>https://drive.google.com/file/d/1PDypj5zSi-tLg_zUBM_AXqW7lnLfxVgf/view?usp=drivesdk</t>
  </si>
  <si>
    <t>Butchery Floor Tile</t>
  </si>
  <si>
    <t>https://drive.google.com/file/d/1T9BcOB1Mm024G5gwxGvg16WhmZTcGnEV/view?usp=drivesdk</t>
  </si>
  <si>
    <t>QT/ERTS-AB-1835</t>
  </si>
  <si>
    <t xml:space="preserve">Frozen Door Gasket </t>
  </si>
  <si>
    <t>https://drive.google.com/file/d/1IHn8rm0p2vZaz-WTePSAG1XfwjPd3FZa/view?usp=drivesdk</t>
  </si>
  <si>
    <t>QT/ERTS-AB-1836</t>
  </si>
  <si>
    <t>https://drive.google.com/file/d/1XPvNbj3jWR-UFd07URy0Zt2oVosNJpGn/view?usp=drivesdk</t>
  </si>
  <si>
    <t>QT/ERTS-AB-1834</t>
  </si>
  <si>
    <t>https://drive.google.com/file/d/1b8RmWrDzaLRBz5MCJ8qPwvkY98vGlsp5/view?usp=drivesdk</t>
  </si>
  <si>
    <t>QT/ERTS-AB-1833</t>
  </si>
  <si>
    <t>HMR COUNTER SELF SERVICE RETRO</t>
  </si>
  <si>
    <t>https://drive.google.com/file/d/1D1SeQ-Nuv9M_d0X4s8c_ANOgUHoEKHY8/view?usp=drivesdk</t>
  </si>
  <si>
    <t>QT/ERTS-AB-1840</t>
  </si>
  <si>
    <t>compressor retro fit &amp; Controller</t>
  </si>
  <si>
    <t>https://drive.google.com/file/d/18Qy0LGKM2gHGzOJQKCQlWVPVGeg0xgyT/view?usp=drivesdk</t>
  </si>
  <si>
    <t>SPAROO DELIVER E SCOOTER</t>
  </si>
  <si>
    <t>https://drive.google.com/file/d/1ipzv_F_r4-LPR3UufVGRoICmzlxApO1a/view?usp=drivesdk</t>
  </si>
  <si>
    <t>73435/118</t>
  </si>
  <si>
    <t xml:space="preserve">Signage Rectification </t>
  </si>
  <si>
    <t>https://drive.google.com/file/d/1jIoUa-tc1BaxViwb4r5g3taxbKvqWTIo/view?usp=drivesdk</t>
  </si>
  <si>
    <t>TW/PA</t>
  </si>
  <si>
    <t>QN30-080015-3</t>
  </si>
  <si>
    <t xml:space="preserve">Display Chiller &amp; Juicer </t>
  </si>
  <si>
    <t>https://drive.google.com/file/d/1YNh2QEnd3JMYnJJ8i1ibAYXrxzhTXUO8/view?usp=drivesdk</t>
  </si>
  <si>
    <t xml:space="preserve">CCTV room partition </t>
  </si>
  <si>
    <t>https://drive.google.com/file/d/1DEqt0KAtsKdByG697DkHsT3Qdz9MqPFk/view?usp=drivesdk</t>
  </si>
  <si>
    <t xml:space="preserve">VEXEL </t>
  </si>
  <si>
    <t xml:space="preserve">HMR Remodeling </t>
  </si>
  <si>
    <t>https://drive.google.com/file/d/1qfJ5qSaFv3-mvoIcU06T5cccOWcHvdyz/view?usp=drivesdk</t>
  </si>
  <si>
    <t>73518/118</t>
  </si>
  <si>
    <t>Timer</t>
  </si>
  <si>
    <t>https://drive.google.com/file/d/1Xtvope4JTMxrh3pUbhsOIxIsd-P17Gfv/view?usp=drivesdk</t>
  </si>
  <si>
    <t>CREATIVE DISPLAY</t>
  </si>
  <si>
    <t>MLK8132</t>
  </si>
  <si>
    <t>Trolley for delivery</t>
  </si>
  <si>
    <t>https://drive.google.com/file/d/1CInyxDO9JeSvVWuOfTf_Snlm5orXz7tM/view?usp=drivesdk</t>
  </si>
  <si>
    <t>ADM-QTN-25-688</t>
  </si>
  <si>
    <t>AP-AR-711 A</t>
  </si>
  <si>
    <t xml:space="preserve">Chiller Display </t>
  </si>
  <si>
    <t>https://drive.google.com/file/d/15WUcnzC7DltmEjE20DHlZwf2D9Lyvj_W/view?usp=drivesdk</t>
  </si>
  <si>
    <t>QT/ERTS-AB-1874</t>
  </si>
  <si>
    <t xml:space="preserve">Under Counter Chiller </t>
  </si>
  <si>
    <t>https://drive.google.com/file/d/1qq2HGIf4Ckz6zLbsFFNAMbmk32c-YpPQ/view?usp=drivesdk</t>
  </si>
  <si>
    <t>CTS/QTN/NJ/SR/06042025002R1</t>
  </si>
  <si>
    <t xml:space="preserve">CCTV Rectification MOI </t>
  </si>
  <si>
    <t>https://drive.google.com/file/d/1jJFEeUwJ4eLQdqJw_Jl4hEzCpSR2LyNI/view?usp=drivesdk</t>
  </si>
  <si>
    <t>EZ-QTN-2025-2215</t>
  </si>
  <si>
    <t>https://drive.google.com/file/d/12ijOtdw1qddAjKcxxPy7dK94cbIs9IUC/view?usp=drivesdk</t>
  </si>
  <si>
    <t>73606/118</t>
  </si>
  <si>
    <t>CCTV Room Sticker &amp; Caution sign</t>
  </si>
  <si>
    <t>https://drive.google.com/file/d/1oehl4qMU7M4Mc0RKK7p3PlQUH00DcQt_/view?usp=drivesdk</t>
  </si>
  <si>
    <t>PA/QQ</t>
  </si>
  <si>
    <t>GT/2025/12283</t>
  </si>
  <si>
    <t xml:space="preserve">IT CABINET REORGANIZATION </t>
  </si>
  <si>
    <t>https://drive.google.com/file/d/13wkINqb2lxGiaB8eBWi5FwT4pzThRLVX/view?usp=drivesdk</t>
  </si>
  <si>
    <t>QT/ERTS-AB-1891</t>
  </si>
  <si>
    <t xml:space="preserve">Refrigeration Pipe Insulation </t>
  </si>
  <si>
    <t>https://drive.google.com/file/d/1-BQMg9LN2hhFuijL-PRSUdW6zBfkM96z/view?usp=drivesdk</t>
  </si>
  <si>
    <t>MY-AR-782</t>
  </si>
  <si>
    <t>Chiller &amp; Ingreiadint Chiller</t>
  </si>
  <si>
    <t>https://drive.google.com/file/d/1TekRdJkwOvFy6AKcjCOSBvnLioG3gbmo/view?usp=drivesdk</t>
  </si>
  <si>
    <t>QT/ERTS-AB-1905</t>
  </si>
  <si>
    <t>Compressor Retrofit</t>
  </si>
  <si>
    <t>https://drive.google.com/file/d/10ueaZu80vKp2IlSo3lfvhh3i5vpLN61d/view?usp=drivesdk</t>
  </si>
  <si>
    <t xml:space="preserve">Hasoob </t>
  </si>
  <si>
    <t>2025-0035 R5</t>
  </si>
  <si>
    <t xml:space="preserve">CCTV MOI Rectification </t>
  </si>
  <si>
    <t>PENDING</t>
  </si>
  <si>
    <t>https://drive.google.com/file/d/1j2thkfe8ayj7E_bgKfRZDhkMdAmX7XI0/view?usp=drivesdk</t>
  </si>
  <si>
    <t>HO</t>
  </si>
  <si>
    <t>73680/118</t>
  </si>
  <si>
    <t xml:space="preserve">SOP Book Printing </t>
  </si>
  <si>
    <t>https://drive.google.com/file/d/1_tk2RwjQRQMjcX8nq4YHYGWPb9hb1rnO/view?usp=drivesdk</t>
  </si>
  <si>
    <t>ADM-ME-QTN-25-033</t>
  </si>
  <si>
    <t>AC Duct Installation CCTV Rm</t>
  </si>
  <si>
    <t>https://drive.google.com/file/d/1ONsYBxT-LhINSonDwDWVUQ4amqj_05Qq/view?usp=drivesdk</t>
  </si>
  <si>
    <t>QT/ERTS-AB-1911</t>
  </si>
  <si>
    <t>Temperature issue</t>
  </si>
  <si>
    <t>https://drive.google.com/file/d/15n2teiBr-vVzvRT0aBCUIrNNB-d5ZKhx/view?usp=drivesdk</t>
  </si>
  <si>
    <t>QT/ERTS-AB-1912</t>
  </si>
  <si>
    <t xml:space="preserve">EVAPORATOR FAN REPLACEMNT </t>
  </si>
  <si>
    <t>https://drive.google.com/file/d/1k2HzEnDFh1NhXJf6qF_W9XbcrqncxLst/view?usp=drivesdk</t>
  </si>
  <si>
    <t>ADM-QTN-25-831</t>
  </si>
  <si>
    <t>EXIT LIGHT REPLACEMENT</t>
  </si>
  <si>
    <t>https://drive.google.com/file/d/1KKDMYzorQbDGXooy4F_ldcZAc6lzzmv-/view?usp=drivesdk</t>
  </si>
  <si>
    <t>ADM-ME-QTN-25-038</t>
  </si>
  <si>
    <t xml:space="preserve">Butchery Exhaust Fan </t>
  </si>
  <si>
    <t>https://drive.google.com/file/d/1EZzcVjoJbZLH9GsWt_2UwMO99_bM5Sb0/view?usp=drivesdk</t>
  </si>
  <si>
    <t xml:space="preserve">BOOKLET PRINTING </t>
  </si>
  <si>
    <t>https://drive.google.com/file/d/1qYNLBV4VWCH0VyzY9376dZmNUh2ShGAH/view?usp=drivesdk</t>
  </si>
  <si>
    <t>ADM-ME-QTN-25-039</t>
  </si>
  <si>
    <t>OUT DOOR UNIT AC RECTIFICATION</t>
  </si>
  <si>
    <t>https://drive.google.com/file/d/1eV-HqGa-oCgtbePttSAOKUEnv1sYisFL/view?usp=drivesdk</t>
  </si>
  <si>
    <t>73742/118</t>
  </si>
  <si>
    <t xml:space="preserve">FV Podium Acrylic Divider </t>
  </si>
  <si>
    <t>https://drive.google.com/file/d/1OqlF8HzoJCWbk2fKZZ-yG0fnBoQIsC24/view?usp=drivesdk</t>
  </si>
  <si>
    <t>SUNWOOD INTERNATIONAL</t>
  </si>
  <si>
    <t>TAWR</t>
  </si>
  <si>
    <t>OFFSPAR20250508</t>
  </si>
  <si>
    <t xml:space="preserve">Trolley &amp; Checkout </t>
  </si>
  <si>
    <t>50% ADVANCE 50% upon BL</t>
  </si>
  <si>
    <t>https://drive.google.com/file/d/1eXBgavLUocexzTe4hxI6cPmYAEhHhF37/view?usp=drivesdk</t>
  </si>
  <si>
    <t xml:space="preserve">Gypsum partition with door </t>
  </si>
  <si>
    <t>https://drive.google.com/file/d/1CP5g9o_Vei1h4cgkTj7T4azvaNVL5Fjd/view?usp=drivesdk</t>
  </si>
  <si>
    <t>QT/ERTS-AB-1932</t>
  </si>
  <si>
    <t xml:space="preserve">FREEZER HEATER COIL REPLACEMENT </t>
  </si>
  <si>
    <t>https://drive.google.com/file/d/1o8V52Lwst11GjlKRgkJe6AHXdipG7eN_/view?usp=drivesdk</t>
  </si>
  <si>
    <t>QT/ERTS-AB-1930</t>
  </si>
  <si>
    <t>Dryer And retrofit</t>
  </si>
  <si>
    <t>https://drive.google.com/file/d/1la_czhBFiRzFaABMJuLXM7k7lXEv8vCX/view?usp=drivesdk</t>
  </si>
  <si>
    <t>MLK8259</t>
  </si>
  <si>
    <t xml:space="preserve">Bonesaw Machine </t>
  </si>
  <si>
    <t>https://drive.google.com/file/d/1hYkIXXq1O_Ar9MGZXBhK6Es0Sw63aTNe/view?usp=drivesdk</t>
  </si>
  <si>
    <t>ADM-ME-QTN-25-085</t>
  </si>
  <si>
    <t>Roof Top Exhasut Fan rectification</t>
  </si>
  <si>
    <t>https://drive.google.com/file/d/13KQfsbcYaRd1oK-PmHpbgeKRhSMhU5ps/view?usp=drivesdk</t>
  </si>
  <si>
    <t>QT/ERTS-AB-1943</t>
  </si>
  <si>
    <t xml:space="preserve">COMPRESSOR REPLACEMENT Dairy </t>
  </si>
  <si>
    <t>https://drive.google.com/file/d/11BepHZ6RPNhtO5yds_MJSD4YO1uPgnKc/view?usp=drivesdk</t>
  </si>
  <si>
    <t>HMR Additional Tables and Modi</t>
  </si>
  <si>
    <t>https://drive.google.com/file/d/19nKPvJ99YpBxXXW_OObipBGyAu1anExf/view?usp=drivesdk</t>
  </si>
  <si>
    <t>https://drive.google.com/file/d/1EE7L24-DKILEMSKgg6JcQ637dLODwoWd/view?usp=drivesdk</t>
  </si>
  <si>
    <t>QT/ERTS-AB-1946</t>
  </si>
  <si>
    <t>https://drive.google.com/file/d/1hUB3TmtqgAPtWt_2xf_JOYKVF8WZE8pV/view?usp=drivesdk</t>
  </si>
  <si>
    <t>QT/ERTS-AB-1948</t>
  </si>
  <si>
    <t>Compressor Replacement - veg Chiller</t>
  </si>
  <si>
    <t>https://drive.google.com/file/d/1J7IDCq442N__nrJ9Z1qyofuA9zW7DwgQ/view?usp=drivesdk</t>
  </si>
  <si>
    <t>QT/ERTS-AB-1950</t>
  </si>
  <si>
    <t>FROZEN CABINET TEMP ISSUE</t>
  </si>
  <si>
    <t>https://drive.google.com/file/d/1c5CkQ3Pyl0zGyos6oqciSPYg80fOOIDH/view?usp=drivesdk</t>
  </si>
  <si>
    <t xml:space="preserve">SUSHI WALL TILE </t>
  </si>
  <si>
    <t>https://drive.google.com/file/d/1X6xSN8N2NploWSMWFgrDKWJ4KID2dXU9/view?usp=drivesdk</t>
  </si>
  <si>
    <t>FISHERY FLOOR TILE</t>
  </si>
  <si>
    <t>https://drive.google.com/file/d/1pZyADrTFATX1BuZA4wYQwUo7YTrKbVzU/view?usp=drivesdk</t>
  </si>
  <si>
    <t>73835/118</t>
  </si>
  <si>
    <t xml:space="preserve">Black Sticker &amp; CCTV Caution </t>
  </si>
  <si>
    <t>https://drive.google.com/file/d/19UQlIQO6flB0FHY34tjg1b_ChyjqpQP3/view?usp=drivesdk</t>
  </si>
  <si>
    <t>QT/ERTS-AB-1957</t>
  </si>
  <si>
    <t xml:space="preserve">Evaporator fan replacement </t>
  </si>
  <si>
    <t>https://drive.google.com/file/d/17Xz_f1JvZjnMl8wo8ba9y2HIedH2JTa4/view?usp=drivesdk</t>
  </si>
  <si>
    <t>QT/ERTS-AB-1954</t>
  </si>
  <si>
    <t>DRAIN HEATER &amp; DRAIN PIPING COLD RM</t>
  </si>
  <si>
    <t>https://drive.google.com/file/d/1L2lDLWCr6a9XsFlxp8rNDHE0Fe2kY05k/view?usp=drivesdk</t>
  </si>
  <si>
    <t>QT/ERTS-AB-1963</t>
  </si>
  <si>
    <t>Cold Room Temp Issue</t>
  </si>
  <si>
    <t>https://drive.google.com/file/d/1-ddaSRxSp05lVDnvbOQhRHHPngOG6sIv/view?usp=drivesdk</t>
  </si>
  <si>
    <t>QT/ERTS-AB-1962</t>
  </si>
  <si>
    <t>https://drive.google.com/file/d/1E9BCS3yfj_p1QnpbY5dmVMEFQmXZ2jsW/view?usp=drivesdk</t>
  </si>
  <si>
    <t>QT/ERTS-AB-1961</t>
  </si>
  <si>
    <t xml:space="preserve">Butchery Chiller Comp Replacment </t>
  </si>
  <si>
    <t>https://drive.google.com/file/d/1IjK1QqFyykUJxgMco4yQ5jpb4JH-iFyw/view?usp=drivesdk</t>
  </si>
  <si>
    <t>ADM-QTN-25-939</t>
  </si>
  <si>
    <t xml:space="preserve">Faulty FA deivce replacement </t>
  </si>
  <si>
    <t>https://drive.google.com/file/d/1Ke-P2Ifw2cj03grohdqmGbgKEgNsS_zb/view?usp=drivesdk</t>
  </si>
  <si>
    <t>QT/ERTS-AB-1969</t>
  </si>
  <si>
    <t>Heater Replacement Counter Chiller</t>
  </si>
  <si>
    <t>https://drive.google.com/file/d/1FlgBbYg5dSyVHe1BXQg2XTUkjRcYuiVE/view?usp=drivesdk</t>
  </si>
  <si>
    <t>ADM-ME-QTN-25-119</t>
  </si>
  <si>
    <t xml:space="preserve">AC rectification Leakage </t>
  </si>
  <si>
    <t>https://drive.google.com/file/d/1s6qJka-pk03FA-VPiode7UJsUriaGTPw/view?usp=drivesdk</t>
  </si>
  <si>
    <t>ADM-ME-QTN-25-113</t>
  </si>
  <si>
    <t>https://drive.google.com/file/d/1EtBZapDXUyvgogIj7DecDT4DVuXSp22M/view?usp=drivesdk</t>
  </si>
  <si>
    <t>QN30-083836-1</t>
  </si>
  <si>
    <t xml:space="preserve">Juice Extractor </t>
  </si>
  <si>
    <t>https://drive.google.com/file/d/1l_zq43NDkusruxGZUntXo0WCIzBrdqy_/view?usp=drivesdk</t>
  </si>
  <si>
    <t>QT/ERTS-AB-1972</t>
  </si>
  <si>
    <t>Controller issue</t>
  </si>
  <si>
    <t>https://drive.google.com/file/d/1oLEqLMOu7Nf0KxlbfBbIXalhsl7sT9VE/view?usp=drivesdk</t>
  </si>
  <si>
    <t>QT/ERTS-AB-1974</t>
  </si>
  <si>
    <t>ICE FORMATION ISSUE ON COLD ROOM</t>
  </si>
  <si>
    <t>https://drive.google.com/file/d/11ue89U89S0ObYngrTqQf7KVNcFoS3KEx/view?usp=drivesdk</t>
  </si>
  <si>
    <t>ADM-ME-QTN-25-118</t>
  </si>
  <si>
    <t xml:space="preserve">AC rectification </t>
  </si>
  <si>
    <t>https://drive.google.com/file/d/1t9GiyibX_qkgdSunUPsJcYi4qdUZvh91/view?usp=drivesdk</t>
  </si>
  <si>
    <t>QT/ERTS-AB-1881 -R1</t>
  </si>
  <si>
    <t xml:space="preserve">Control Panel Electrical rewiring </t>
  </si>
  <si>
    <t>https://drive.google.com/file/d/1qvXSALfqMeByKEnm_SX9yshpOkxTIwAc/view?usp=drivesdk</t>
  </si>
  <si>
    <t>QT/ERTS-AB-1984</t>
  </si>
  <si>
    <t xml:space="preserve">Fv Chiller Temperature issue </t>
  </si>
  <si>
    <t>https://drive.google.com/file/d/1FXXh4SbQS1KuVwkXOBHni-4RfLz6WBQV/view?usp=drivesdk</t>
  </si>
  <si>
    <t>ADM-QTN-25-1014-R2</t>
  </si>
  <si>
    <t xml:space="preserve">QCD Fire Fighting rectification </t>
  </si>
  <si>
    <t>https://drive.google.com/file/d/1ujBrCiPlevhDuO3qGnwvfhMdHVmY0eSr/view?usp=drivesdk</t>
  </si>
  <si>
    <t>QT/ERTS-AB-1990</t>
  </si>
  <si>
    <t xml:space="preserve">Gas Leakage &amp; refilling in the plant room </t>
  </si>
  <si>
    <t>QT/ERTS-AB-2009</t>
  </si>
  <si>
    <t>LEAKAGE RECTIFICATION Gas filling</t>
  </si>
  <si>
    <t>https://drive.google.com/file/d/1JYP8mT2ihOuHiPegMuoctJvigyG8x0ax/view?usp=drivesdk</t>
  </si>
  <si>
    <t>QT/ERTS-AB-2014</t>
  </si>
  <si>
    <t>https://drive.google.com/file/d/1b3NIOvwj2FxDq58oWSrwozkz5fkAFBmR/view?usp=drivesdk</t>
  </si>
  <si>
    <t>QT/ERTS-AB-2025</t>
  </si>
  <si>
    <t>https://drive.google.com/file/d/1sdk6bt4MvPkMk_GLgfMUQCuPQmv1Rw0V/view?usp=drivesdk</t>
  </si>
  <si>
    <t>QT/ERTS-AB-2026</t>
  </si>
  <si>
    <t xml:space="preserve">controller &amp; magnetic contactor </t>
  </si>
  <si>
    <t>https://drive.google.com/file/d/1ttfgQ-uFLssWAEw9FCSVULnHiJ-e5m51/view?usp=drivesdk</t>
  </si>
  <si>
    <t>QT/ERTS-AB-2016</t>
  </si>
  <si>
    <t>https://drive.google.com/file/d/18pe2iX-Gw3Mo8emd3JBPapWnuyyi2YVW/view?usp=drivesdk</t>
  </si>
  <si>
    <t>QT/ERTS-AB-2029</t>
  </si>
  <si>
    <t xml:space="preserve">LT RACK OVERLOAD REPLACEMNT </t>
  </si>
  <si>
    <t>https://drive.google.com/file/d/1NSTDZi6GcItvUH7PJIWgFLrlJigQVqak/view?usp=drivesdk</t>
  </si>
  <si>
    <t>QT/ERTS-AB-2030</t>
  </si>
  <si>
    <t>Controller</t>
  </si>
  <si>
    <t>https://drive.google.com/file/d/1ZEW9VjU0qaaKmLQzOOB6hpcyB9oKuMb0/view?usp=drivesdk</t>
  </si>
  <si>
    <t>QT/ERTS-AB-2032</t>
  </si>
  <si>
    <t>https://drive.google.com/file/d/1zjYB5Jt1n5c_xNeZ9isDpvjIvXclpWup/view?usp=drivesdk</t>
  </si>
  <si>
    <t>QT/ERTS-AB-1848</t>
  </si>
  <si>
    <t>https://drive.google.com/file/d/1-kllBTS2R9To75_Zbqsaq8GdwQwZ69l4/view?usp=drivesdk</t>
  </si>
  <si>
    <t>QT/ERTS-AB-1989</t>
  </si>
  <si>
    <t xml:space="preserve"> Ice formation issue Glass door freezer</t>
  </si>
  <si>
    <t>https://drive.google.com/file/d/11mMxnIvcL5KOGPlV7pixNQdmgaot2uM8/view?usp=drivesdk</t>
  </si>
  <si>
    <t>QN30-085411-1</t>
  </si>
  <si>
    <t>https://drive.google.com/file/d/1f1LglrT9TF7hTshY0Bz8bd7CISBKqS-o/view?usp=drivesdk</t>
  </si>
  <si>
    <t>QT/ERTS-AB-1890</t>
  </si>
  <si>
    <t xml:space="preserve">Oil Preassure SWT Compressor </t>
  </si>
  <si>
    <t>https://drive.google.com/file/d/1MhNoGhXnypXVW7ReGok1WrQJE2iIm-KY/view?usp=drivesdk</t>
  </si>
  <si>
    <t>QT/ERTS-AB-1887-R1</t>
  </si>
  <si>
    <t>Compressor overhauling</t>
  </si>
  <si>
    <t>https://drive.google.com/file/d/1XupGlWUunqkC8QYRsFoOtr63HJAHhPNL/view?usp=drivesdk</t>
  </si>
  <si>
    <t>QT/ERTS-AB-2048</t>
  </si>
  <si>
    <t>Under Counter Chiller</t>
  </si>
  <si>
    <t>https://drive.google.com/file/d/1rjpFp09LLyrSAvsNRsIdExPoludPt-vJ/view?usp=drivesdk</t>
  </si>
  <si>
    <t>QN30-085966-2</t>
  </si>
  <si>
    <t>Meat Mincer Machine</t>
  </si>
  <si>
    <t>https://drive.google.com/file/d/12udrv8ATY3Z6yL2O647JoBBFctBP50wx/view?usp=drivesdk</t>
  </si>
  <si>
    <t>ADM-QTN-25-1161</t>
  </si>
  <si>
    <t>FIRE EXTINGUISHER Refill</t>
  </si>
  <si>
    <t>https://drive.google.com/file/d/1mcdCx5Aob1GCSoP0KQoA2ZtSJPrUb4lr/view?usp=drivesdk</t>
  </si>
  <si>
    <t>ADM-QTN-25-1044</t>
  </si>
  <si>
    <t>https://drive.google.com/file/d/1s9F9nOk8YKQ7nKMG0Hk9S4gB_75cN006/view?usp=drivesdk</t>
  </si>
  <si>
    <t>QT/ERTS-AB-2080</t>
  </si>
  <si>
    <t xml:space="preserve">Cold Room Sensor </t>
  </si>
  <si>
    <t>https://drive.google.com/file/d/1Ce5Fja7pET0Yp3M01J_DkanQRTsMw8uz/view?usp=drivesdk</t>
  </si>
  <si>
    <t xml:space="preserve">ALM </t>
  </si>
  <si>
    <t>QT/ERTS-AB-2081</t>
  </si>
  <si>
    <t xml:space="preserve">Contactor Replacement </t>
  </si>
  <si>
    <t>https://drive.google.com/file/d/163SR48FRbdxXn7OLkyOmg_F_OpNfH0t3/view?usp=drivesdk</t>
  </si>
  <si>
    <t>CTS/QTN/NJ/SR/07082025001</t>
  </si>
  <si>
    <t>MOI CCTV RECTIFICATION &amp; CERTIFICATE</t>
  </si>
  <si>
    <t>https://drive.google.com/file/d/13sz7lKBwUL0wMS7HZ2QwjQYy3E6lpN_8/view?usp=drivesdk</t>
  </si>
  <si>
    <t>Fishery Glass &amp; Power supply Reconfig</t>
  </si>
  <si>
    <t>https://drive.google.com/file/d/1DCm3fYlpgpgsqVu07aMilKRX2bcrul_T/view?usp=drivesdk</t>
  </si>
  <si>
    <t xml:space="preserve">CCTV SERVER ROOM PARTITON </t>
  </si>
  <si>
    <t>https://drive.google.com/file/d/17V5OEwmgITPoPzy8zW3zBhkucjTmhMX-/view?usp=drivesdk</t>
  </si>
  <si>
    <t>Checkout Installation &amp; Power Switch</t>
  </si>
  <si>
    <t>https://drive.google.com/file/d/1BgXt4r5eQh_kukiN9svvPjmdwUpArXyb/view?usp=drivesdk</t>
  </si>
  <si>
    <t xml:space="preserve">Marketing Storage Partition &amp; IT Team </t>
  </si>
  <si>
    <t>https://drive.google.com/file/d/1q5JcuiH1RjJ0sqM_c1gkonZHq981Ae8V/view?usp=drivesdk</t>
  </si>
  <si>
    <t xml:space="preserve">Fishery Floor Tiles replacement </t>
  </si>
  <si>
    <t>https://drive.google.com/file/d/1BW9YgJjYTdDKe-xMF4_sOlK9aoii1aRV/view?usp=drivesdk</t>
  </si>
  <si>
    <t>QT/ERTS-AB-2072-R1</t>
  </si>
  <si>
    <t xml:space="preserve">Tawar Basement lekage rectification </t>
  </si>
  <si>
    <t>07/09/02025</t>
  </si>
  <si>
    <t>https://drive.google.com/file/d/1-dZ74gCsxLfFMg689ICkJJFhDNcm9GOa/view?usp=drivesdk</t>
  </si>
  <si>
    <t>QT/ERTS-AB-2091</t>
  </si>
  <si>
    <t>https://drive.google.com/file/d/1qYrLYwUhSo3IsaU5-t5EaosV8FwHgPTO/view?usp=drivesdk</t>
  </si>
  <si>
    <t>74452/118</t>
  </si>
  <si>
    <t>Butchery chiller cover</t>
  </si>
  <si>
    <t>https://drive.google.com/file/d/1vP-jL6iA8siAP9bMEqoZWsVA7DSYieSt/view?usp=drivesdk</t>
  </si>
  <si>
    <t>74394/118</t>
  </si>
  <si>
    <t>https://drive.google.com/file/d/12yNE94PNMA810M5nGPvE-Sf6Dki54XZD/view?usp=drivesdk</t>
  </si>
  <si>
    <t>ADM-QTN-25-1465</t>
  </si>
  <si>
    <t xml:space="preserve">Al mana QCD inspection Rectification </t>
  </si>
  <si>
    <t>https://drive.google.com/file/d/1-R1HOAdleEm-0-5KDL4A0YwpbVbiLukR/view?usp=drivesdk</t>
  </si>
  <si>
    <t>QT/ERTS-AB-2094</t>
  </si>
  <si>
    <t xml:space="preserve">Deli Chiller Solenoid valve replacement </t>
  </si>
  <si>
    <t>https://drive.google.com/file/d/1HUZoRErh8SFvnpBCIz9LdHs-_v1mfjXL/view?usp=drivesdk</t>
  </si>
  <si>
    <t>QT/ERTS-AB-2097</t>
  </si>
  <si>
    <t>BEVERAGE CHILLER SYSTEM REPROCESS</t>
  </si>
  <si>
    <t>https://drive.google.com/file/d/1ZndtoeyVo1UMGx3CATxgxWCJPTh6uWcL/view?usp=drivesdk</t>
  </si>
  <si>
    <t>OFFSPAR20250828 F&amp;V</t>
  </si>
  <si>
    <t xml:space="preserve">FV Display Shelves </t>
  </si>
  <si>
    <t xml:space="preserve">35% Advance </t>
  </si>
  <si>
    <t>https://drive.google.com/file/d/1BfGZ00Ha-HZ6LlUvIrBlCE5mRBxu-2sp/view?usp=drivesdk</t>
  </si>
  <si>
    <t>QT/ERTS-AB-2103</t>
  </si>
  <si>
    <t>Oil &amp; Filter LT MT Rack</t>
  </si>
  <si>
    <t>https://drive.google.com/file/d/1EGH7_k3-oSmu9Vxhb3Tjv1ecNO-APr1G/view?usp=drivesdk</t>
  </si>
  <si>
    <t>QN30-086822-2</t>
  </si>
  <si>
    <t>Pizza Oven &amp; Stand</t>
  </si>
  <si>
    <t>https://drive.google.com/file/d/15-Xtu9cwlMMpTG8ygE50Jwqyf_zC3_Sj/view?usp=drivesdk</t>
  </si>
  <si>
    <t>QT/ERTS-AB-2082</t>
  </si>
  <si>
    <t>DELI CHILLER DISMANTLING</t>
  </si>
  <si>
    <t>https://drive.google.com/file/d/1pr-3pgpNY4whwOanCIPVMt8quEhUuaxV/view?usp=drivesdk</t>
  </si>
  <si>
    <t>QT/ERTS-AB-1883-R1</t>
  </si>
  <si>
    <t>https://drive.google.com/file/d/1iOZRskunh8eywg_71ytEwOb-N8_0Lf_J/view?usp=drivesdk</t>
  </si>
  <si>
    <t>QT/ERTS-AB-2105</t>
  </si>
  <si>
    <t>EVAPORATOR FAN MOTOR FV</t>
  </si>
  <si>
    <t>https://drive.google.com/file/d/12wp0QjgAlANg7ql191p9kr6lfQKkHUsQ/view?usp=drivesdk</t>
  </si>
  <si>
    <t>QT/ERTS-AB-2108</t>
  </si>
  <si>
    <t>CONDENSER FAN MOTOR</t>
  </si>
  <si>
    <t>https://drive.google.com/file/d/13AFTDp0PgfzBI1mwLF0IFT0yGpa6q8WO/view?usp=drivesdk</t>
  </si>
  <si>
    <t>QT/ERTS-AB-2114</t>
  </si>
  <si>
    <t>FROZERN CLD RM SENSOR</t>
  </si>
  <si>
    <t>https://drive.google.com/file/d/1KcM6HW-c0lHmWxK1bzbLS8-1QFR3KuOw/view?usp=drivesdk</t>
  </si>
  <si>
    <t>ADM-ME-QTN-25-288</t>
  </si>
  <si>
    <t>BAKERY AREA AC ADDITIONAL RECTIFICATION</t>
  </si>
  <si>
    <t>https://drive.google.com/file/d/1pfy50ve3zc18q6ECduvZSzQTZCf8NzoP/view?usp=drivesdk</t>
  </si>
  <si>
    <t>ADM-ME-QTN-25-270</t>
  </si>
  <si>
    <t xml:space="preserve">FAHU RECTIFICATION </t>
  </si>
  <si>
    <t>https://drive.google.com/file/d/1CoY9ZKOcNte22hK3_rkuAHVRVuvxM2dB/view?usp=drivesdk</t>
  </si>
  <si>
    <t>ADM-ME-QTN-25-196</t>
  </si>
  <si>
    <t>Repairing of Motor and PCB Board</t>
  </si>
  <si>
    <t>https://drive.google.com/file/d/12xiDlNpHy2s9VhsOU8yUwcnnIetx5AhU/view?usp=drivesdk</t>
  </si>
  <si>
    <t>ADM-QTN-25-1432</t>
  </si>
  <si>
    <t>QCD FA RECTIFICATION WORKS</t>
  </si>
  <si>
    <t>https://drive.google.com/file/d/1opIQgQbjXHueroiGFSMtdKMamuTYQWBr/view?usp=drivesdk</t>
  </si>
  <si>
    <t>GT/2025/12708</t>
  </si>
  <si>
    <t xml:space="preserve">Now Signage License - Fishery </t>
  </si>
  <si>
    <t>01/010/2025</t>
  </si>
  <si>
    <t>https://drive.google.com/file/d/1TqUpGEN1S0UMML1_Tiy98HdLyBiMOPGI/view?usp=drivesdk</t>
  </si>
  <si>
    <t>MY-AR-876 B</t>
  </si>
  <si>
    <t>HMR Display Chillers</t>
  </si>
  <si>
    <t>50% Advance 50% PDC</t>
  </si>
  <si>
    <t>https://drive.google.com/file/d/1baYu0hWM5suCi0_ITKSX_9K1DOHDsZEV/view?usp=drivesdk</t>
  </si>
  <si>
    <t>QT/ERTS-AB-2098-R1</t>
  </si>
  <si>
    <t>REPROCESS THE SYSTEM VEG CHILLER</t>
  </si>
  <si>
    <t>https://drive.google.com/file/d/10wHbjgT52GY1tdOCMASnJ9howiT2H18Z/view?usp=drivesdk</t>
  </si>
  <si>
    <t>GT/2025/12721</t>
  </si>
  <si>
    <t>HMR SCREEN</t>
  </si>
  <si>
    <t>https://drive.google.com/file/d/1PKNnV93_Pt8FjG14KQjj__ucqWifhv4a/view?usp=drivesdk</t>
  </si>
  <si>
    <t>ADM-ME-QTN-25-350</t>
  </si>
  <si>
    <t xml:space="preserve">CCTV Room Ac Diffuser Installation </t>
  </si>
  <si>
    <t>https://drive.google.com/file/d/1_d5tZlw-bLSXpjW2SwqM1q6HTjvvMqDv/view?usp=drivesdk</t>
  </si>
  <si>
    <t>ADM-QTN-25-1550</t>
  </si>
  <si>
    <t>CCTV Room Sprinkler Installation -QCD</t>
  </si>
  <si>
    <t>https://drive.google.com/file/d/1cL4IkLEwxQeJ17gmIjzxuiK_T5EiD2zR/view?usp=drivesdk</t>
  </si>
  <si>
    <t>ADM-QTN-25-1569</t>
  </si>
  <si>
    <t xml:space="preserve">QCD INSPECTION RECTIFICATION EXT EMG </t>
  </si>
  <si>
    <t>https://drive.google.com/file/d/1AhP5fzn46byJfNDU8Jhf-3eMzDbcVNFH/view?usp=drivesdk</t>
  </si>
  <si>
    <t xml:space="preserve">External sticker removel </t>
  </si>
  <si>
    <t>https://drive.google.com/file/d/1ye9U-KAs1PTO3pIxxIkrpR0aGOqQ4f_E/view?usp=drivesdk</t>
  </si>
  <si>
    <t>CUSTOME MADE SS FISHERY TABLE WITH 2 SINK</t>
  </si>
  <si>
    <t>https://drive.google.com/file/d/1TPcGE5uYWMRbgINtJ22c6-fAPA6WOQ02/view?usp=drivesdk</t>
  </si>
  <si>
    <t xml:space="preserve">TAWAR LED SCREEN MS TUBE FRAME </t>
  </si>
  <si>
    <t>https://drive.google.com/file/d/1r1nJvqM69hOz58jmmcpK2fHoss54u0Jj/view?usp=drivesdk</t>
  </si>
  <si>
    <t>ADM-ME-QTN-25-374</t>
  </si>
  <si>
    <t xml:space="preserve">BELL MOUTH REPLACEMENT </t>
  </si>
  <si>
    <t>https://drive.google.com/file/d/11HRQy542C-UCdHTXZ41JqplPeNvC3Fdk/view?usp=drivesdk</t>
  </si>
  <si>
    <t>ADM-ME-QTN-25-375</t>
  </si>
  <si>
    <t xml:space="preserve">GAS LEAKAGE RECTIFICATION SERVER ROOM </t>
  </si>
  <si>
    <t>https://drive.google.com/file/d/188YDqEGDNBTcw3EyOY6yPEWGSssU-aho/view?usp=drivesdk</t>
  </si>
  <si>
    <t>ADM-ME-QTN-25-376</t>
  </si>
  <si>
    <t xml:space="preserve">GAS LEAKAGE RECTIFICATION RECEIVING </t>
  </si>
  <si>
    <t>https://drive.google.com/file/d/13RIJ16TdvLR9nDRye9KYyS7hmL2A8gYI/view?usp=drivesdk</t>
  </si>
  <si>
    <t>QT/ERTS-AB-2202</t>
  </si>
  <si>
    <t xml:space="preserve">COLD RM DOOR HEATER </t>
  </si>
  <si>
    <t>https://drive.google.com/file/d/1FHUtM5bJ9WXgMmgc43dfN3vj8OEgMIHx/view?usp=drivesdk</t>
  </si>
  <si>
    <t>74567/118</t>
  </si>
  <si>
    <t xml:space="preserve">FV ACRYLIC DIVIDER </t>
  </si>
  <si>
    <t>https://drive.google.com/file/d/1hLc1cdXlcGx-qCQejBkFAtWHmag54bfM/view?usp=drivesdk</t>
  </si>
  <si>
    <t>QT/ERTS-AB-2203</t>
  </si>
  <si>
    <t>FV CHILLER GAS CHARGE</t>
  </si>
  <si>
    <t>https://drive.google.com/file/d/1Ezm381Qb6RnqIPjCdBdhRYcNLUnUR9gp/view?usp=drivesdk</t>
  </si>
  <si>
    <t>QT/ERTS-AB-2207</t>
  </si>
  <si>
    <t xml:space="preserve">BEVERAGE CHILLER CONTROLLER </t>
  </si>
  <si>
    <t>https://drive.google.com/file/d/1pg-4oSp5JsgOxOcFUqiKF97ohm8GTRs0/view?usp=drivesdk</t>
  </si>
  <si>
    <t>QT/ERTS-AB-2208</t>
  </si>
  <si>
    <t xml:space="preserve">BAKERY UNDER CHLR COMPRESSOR </t>
  </si>
  <si>
    <t>https://drive.google.com/file/d/1_l0-dDUcBFsVU4B_u4PSyiQf95yy_gog/view?usp=drivesdk</t>
  </si>
  <si>
    <t>QT/ERTS-AB-2209</t>
  </si>
  <si>
    <t>REPROCESS THE SYSTEM DAIRY CHILLER</t>
  </si>
  <si>
    <t>https://drive.google.com/file/d/1PX4Z4MK1w8-ZoJ-lcrd89MJfdFlweo7O/view?usp=drivesdk</t>
  </si>
  <si>
    <t>QT/ERTS-AB-2214</t>
  </si>
  <si>
    <t xml:space="preserve">FRZR CLD RM COMPRESSOR </t>
  </si>
  <si>
    <t>https://drive.google.com/file/d/1gp_khGlfxHfb339fbqmm99ozffAFqz58/view?usp=drivesdk</t>
  </si>
  <si>
    <t>QT/ERTS-AB-2215</t>
  </si>
  <si>
    <t xml:space="preserve">CHILLER COMPRESSOR REPALCEMENT </t>
  </si>
  <si>
    <t>https://drive.google.com/file/d/1gLj9_TppHZa3kDly8g5BCuSULcbTtG72/view?usp=drivesdk</t>
  </si>
  <si>
    <t>QN30-087978-2</t>
  </si>
  <si>
    <t>https://drive.google.com/file/d/1reCu-xsuqnKZl1oqud5shC5-ozj-gv-X/view?usp=drivesdk</t>
  </si>
  <si>
    <t xml:space="preserve">FV Area Floor Tile Installation </t>
  </si>
  <si>
    <t xml:space="preserve">75% Advance 25%Completion </t>
  </si>
  <si>
    <t>https://drive.google.com/file/d/18DgL0yqzErRoFOG9-zj0ZurSCffDrTNc/view?usp=drivesdk</t>
  </si>
  <si>
    <t>74797/118</t>
  </si>
  <si>
    <t xml:space="preserve">Deli Signage Relocation </t>
  </si>
  <si>
    <t>https://drive.google.com/file/d/1lfap9JnAN_r9pLHL2liZHlLaHxl_FFxj/view?usp=drivesdk</t>
  </si>
  <si>
    <t xml:space="preserve">BOH Epoxy Application </t>
  </si>
  <si>
    <t xml:space="preserve">50% Advance 50%Completion </t>
  </si>
  <si>
    <t>https://drive.google.com/file/d/1RNQLh-F8CXjAOd5sVg7cITKZaavHAEUY/view?usp=drivesdk</t>
  </si>
  <si>
    <t>QT/ERTS-AB-2226</t>
  </si>
  <si>
    <t>Magnetic Contactor</t>
  </si>
  <si>
    <t>INV/ERTS-985</t>
  </si>
  <si>
    <t>DUE</t>
  </si>
  <si>
    <t>https://drive.google.com/file/d/1zROXuu-uLkkqi62E-d7sETEzqas43Jt-/view?usp=drivesdk</t>
  </si>
  <si>
    <t>74538/118</t>
  </si>
  <si>
    <t>Froasted Sticker CCTV Room</t>
  </si>
  <si>
    <t>https://drive.google.com/file/d/1CNSUI0zczUPYAqKMQTfkuxiQvrxUQVgl/view?usp=drivesdk</t>
  </si>
  <si>
    <t>ADM-ME-QTN-25-393</t>
  </si>
  <si>
    <t>Air Curtain Motor Rewinding</t>
  </si>
  <si>
    <t>https://drive.google.com/file/d/1S_udfR2Ut_IslNdvVFNI5hfFAWl0fVi1/view?usp=drivesdk</t>
  </si>
  <si>
    <t>QN30-088303-1</t>
  </si>
  <si>
    <t>Pizza Dough sheeter portable</t>
  </si>
  <si>
    <t>https://drive.google.com/file/d/1QhH4B61A4HwP8iJRJeQpNosCOntMOTa9/view?usp=drivesdk</t>
  </si>
  <si>
    <t>Arkan Consultancy</t>
  </si>
  <si>
    <t>MEP/ARK/U042/J951/08/25/R02</t>
  </si>
  <si>
    <t>Building Completion &amp; QCD</t>
  </si>
  <si>
    <t>30% Advance 30% P 30% &amp;10%</t>
  </si>
  <si>
    <t>https://drive.google.com/file/d/1fQw7jkcm72RiL0-_6id_RaXPx0FZAyik/view?usp=drivesdk</t>
  </si>
  <si>
    <t>QT/ERTS-AB-2249</t>
  </si>
  <si>
    <t>Defrost Heater Frozen Cabinet</t>
  </si>
  <si>
    <t>https://drive.google.com/file/d/1PSz1XOMLT6Yk09ErezegeUEl6QYhA8PL/view?usp=drivesdk</t>
  </si>
  <si>
    <t>QN30-089505-2</t>
  </si>
  <si>
    <t>Meat Slicer Machine -  Deli</t>
  </si>
  <si>
    <t>https://drive.google.com/file/d/1bqthYmZTuOhP4owHHfVejMWH-dBqPj-1/view?usp=drivesdk</t>
  </si>
  <si>
    <t>QT/ERTS-AB-2227</t>
  </si>
  <si>
    <t>Pastry Chiller Reprocess</t>
  </si>
  <si>
    <t>20//11/2025</t>
  </si>
  <si>
    <t>https://drive.google.com/file/d/1e6dEYWz_Zk1ETjrpN9_g54Eoq5xZAhzO/view?usp=drivesdk</t>
  </si>
  <si>
    <t>QT/ERTS-AB-2239</t>
  </si>
  <si>
    <t>https://drive.google.com/file/d/1ZXVVdThs5aVzLSft49fRFObtpRcscKQS/view?usp=drivesdk</t>
  </si>
  <si>
    <t>QT/ERTS-AB-2240</t>
  </si>
  <si>
    <t>REPLACEMENT OF CONDENSER FAN MOTOR</t>
  </si>
  <si>
    <t>https://drive.google.com/file/d/1faV4eVNl4WB3pwaJA1IotT-_h5jr-FMP/view?usp=drivesdk</t>
  </si>
  <si>
    <t>QT/ERTS-AB-2243 -R1</t>
  </si>
  <si>
    <t xml:space="preserve">Compressor Installation HMR </t>
  </si>
  <si>
    <t>https://drive.google.com/file/d/1RFUQRX8mHNbeEX0xkLaO0g8HJlPseLLH/view?usp=drivesdk</t>
  </si>
  <si>
    <t>REF: 2025-0263-R1</t>
  </si>
  <si>
    <t>https://drive.google.com/file/d/1mOb-i2JfktwMj4lj9f7dhnmd4dkhu3sp/view?usp=drivesdk</t>
  </si>
  <si>
    <t>MLK9106</t>
  </si>
  <si>
    <t>Ingrediant Chiller HMR</t>
  </si>
  <si>
    <t>https://drive.google.com/file/d/1qoOpPIanU1qyp96gf9ew7gUTWw2HHOLj/view?usp=drivesdk</t>
  </si>
  <si>
    <t>MLK9107</t>
  </si>
  <si>
    <t xml:space="preserve">warehouse racking </t>
  </si>
  <si>
    <t>https://drive.google.com/file/d/144TQanDfp62Z2hxjTiHIpkGr-y--Jk3c/view?usp=drivesdk</t>
  </si>
  <si>
    <t>QT/ERTS-AB-2254</t>
  </si>
  <si>
    <t xml:space="preserve">COLD ROOM COMPRESSOR </t>
  </si>
  <si>
    <t>https://drive.google.com/file/d/1n30ZJi4mRawSoQ28bXvAjIFl-WQF_B8J/view?usp=drivesdk</t>
  </si>
  <si>
    <t>ADM-QTN-25-1950</t>
  </si>
  <si>
    <t xml:space="preserve">Smoke Detector replacement </t>
  </si>
  <si>
    <t>https://drive.google.com/file/d/1O0SLjcCw0VSzyKnJsTU7HLxsgNlbyxoK/view?usp=drivesdk</t>
  </si>
  <si>
    <t>KONE</t>
  </si>
  <si>
    <t>T-0008898060, 1</t>
  </si>
  <si>
    <t>service lift repair - trolley boy incident</t>
  </si>
  <si>
    <t>https://drive.google.com/file/d/1adiUw1BMsvDzMIT_KfdNuIUcdBSJgNtj/view?usp=drivesdk</t>
  </si>
  <si>
    <t>QT/ERTS-AB-2216</t>
  </si>
  <si>
    <t xml:space="preserve">MT Condenser Fan Rewiding </t>
  </si>
  <si>
    <t>INV/ERTS-1061</t>
  </si>
  <si>
    <t>https://drive.google.com/file/d/1HQzKmnip2tURecKM6XL3HUCRdOHKkUrk/view?usp=drivesdk</t>
  </si>
  <si>
    <t>QT/ERTS-AB-2270</t>
  </si>
  <si>
    <t>https://drive.google.com/file/d/1avN64mtXfisB8d8Pn1NuZkvngGnfn_U9/view?usp=drivesdk</t>
  </si>
  <si>
    <t>QT/ERTS-AB-2271</t>
  </si>
  <si>
    <t xml:space="preserve">Condensor Coil &amp; Reprocess </t>
  </si>
  <si>
    <t>https://drive.google.com/file/d/1W3yC3Hq2jc80UguNtPpxvbHnfQ1BRPrT/view?usp=drivesdk</t>
  </si>
  <si>
    <t>QT/ERTS-AB-2274</t>
  </si>
  <si>
    <t>https://drive.google.com/file/d/1saNBieKSYKVFbUBx1sufePJpRjdFN8qN/view?usp=drivesdk</t>
  </si>
  <si>
    <t>QN30-090504-2</t>
  </si>
  <si>
    <t>SS Tray Trolley</t>
  </si>
  <si>
    <t>https://drive.google.com/file/d/1qSw3xCeoJOFORluprzW_OF2zI-OOfBbE/view?usp=drivesdk</t>
  </si>
  <si>
    <t>CTS/QTN/NJ/SR/22122025003</t>
  </si>
  <si>
    <t xml:space="preserve">Fiber Cabling MOI room </t>
  </si>
  <si>
    <t>50% Advance 50% Upon Delivery</t>
  </si>
  <si>
    <t>https://drive.google.com/file/d/10O9ZUJ-REgyqC_QVl_hei0otHxKXYNVu/view?usp=drivesdk</t>
  </si>
  <si>
    <t>QT/ERTS-AB-2281</t>
  </si>
  <si>
    <t>FV chiller System Reprocess</t>
  </si>
  <si>
    <t>https://drive.google.com/file/d/1WjdzB0XSCa0urZlgteVbz797CmPcuyTo/view?usp=drivesdk</t>
  </si>
  <si>
    <t>QT/ERTS-AB-2292</t>
  </si>
  <si>
    <t xml:space="preserve">Drain Heater Cold Room </t>
  </si>
  <si>
    <t>https://drive.google.com/file/d/1T_0Wlsnk6PxpUubNCy8NgJE8ZKtwaESd/view?usp=drivesdk</t>
  </si>
  <si>
    <t>ADM-ME-QTN-25-206</t>
  </si>
  <si>
    <t>CAPACITOR 10uF</t>
  </si>
  <si>
    <t>https://drive.google.com/file/d/1_KgOQcrSXB-Wp9dsvGdzrKAY9lxwihw_/view?usp=drivesdk</t>
  </si>
  <si>
    <t>ADM-ME-QTN-25-289</t>
  </si>
  <si>
    <t>MOTOR REPAIRING</t>
  </si>
  <si>
    <t>https://drive.google.com/file/d/1AkIi0jB_FZkBoDRrTEQ8LtFFxuXcibwO/view?usp=drivesdk</t>
  </si>
  <si>
    <t>ADM-ME-QTN-25-504</t>
  </si>
  <si>
    <t>AHU FAN BELT</t>
  </si>
  <si>
    <t>https://drive.google.com/file/d/1pRS7VrG5TegpMCi_OPaTFGsGanm6vg0R/view?usp=drivesdk</t>
  </si>
  <si>
    <t>ADM-ME-QTN-25-349</t>
  </si>
  <si>
    <t xml:space="preserve">DRAIN LINE MODIFICATION </t>
  </si>
  <si>
    <t>https://drive.google.com/file/d/1fRahiSw6rvzOLtJ8BU6ZcYUb-OE93CDE/view?usp=drivesdk</t>
  </si>
  <si>
    <t>ADM-ME-QTN-25-324</t>
  </si>
  <si>
    <t xml:space="preserve">CASSETTE AC RECTIFICATION </t>
  </si>
  <si>
    <t>https://drive.google.com/file/d/1qFOdmlX5zCbiicef3rhsc_onkYz944M-/view?usp=drivesdk</t>
  </si>
  <si>
    <t>ADM-ME-QTN-25-290</t>
  </si>
  <si>
    <t xml:space="preserve">EXTERNAL AC UNIT RECTIFICATION </t>
  </si>
  <si>
    <t>https://drive.google.com/file/d/1h7ipOHxeDeHTsTXm7hwqjDIk0Wt_aHNz/view?usp=drivesdk</t>
  </si>
  <si>
    <t>ADM-ME-QTN-25-287</t>
  </si>
  <si>
    <t xml:space="preserve">CHILLED WATER VALVE REPLACEMENT </t>
  </si>
  <si>
    <t>https://drive.google.com/file/d/11ioTmQKIu1_448-tSLNjTYv4WiGeATmo/view?usp=drivesdk</t>
  </si>
  <si>
    <t>RW-Q/046-26/DD-041/FP-238/DR</t>
  </si>
  <si>
    <t>SHUTTER DOOR RECEIVING AREA</t>
  </si>
  <si>
    <t>https://drive.google.com/file/d/1iT3pXiSkM0Im3rYNh56OC_sSHq0ULWse/view?usp=drivesdk</t>
  </si>
  <si>
    <t>IDS</t>
  </si>
  <si>
    <t>IDS/0/1870/2025</t>
  </si>
  <si>
    <t>FREEZER DIPSLAY FOR DNFI</t>
  </si>
  <si>
    <t>https://drive.google.com/file/d/1JNJ-j9wrc0BKppPkRi9oaYNT0i37IJ-h/view?usp=drivesdk</t>
  </si>
  <si>
    <t>ADM-ME-QTN-26-022</t>
  </si>
  <si>
    <t xml:space="preserve">ACMV FOR QCD INSPECTION </t>
  </si>
  <si>
    <t>https://drive.google.com/file/d/1hp21DZ7chRMb0tRsKaGe0EYjUlzCC5IA/view?usp=drivesdk</t>
  </si>
  <si>
    <t>EZ-QTN-2026-2522</t>
  </si>
  <si>
    <t xml:space="preserve">EXHASUT FAN MOTOR </t>
  </si>
  <si>
    <t>https://drive.google.com/file/d/1W70Cl2g8AjtsvWkK1dfRfUZei4fmpYSY/view?usp=drivesdk</t>
  </si>
  <si>
    <t>QT/ERTS-AB-2297</t>
  </si>
  <si>
    <t>ICE MACHINE REPAIR</t>
  </si>
  <si>
    <t>https://drive.google.com/file/d/1glzHd8w6SJJa6aqbIjIj-lUSpY-8OKyc/view?usp=drivesdk</t>
  </si>
  <si>
    <t>QT/ERTS-AB-2305</t>
  </si>
  <si>
    <t>MT CONDENSER RACK CONTACTOR</t>
  </si>
  <si>
    <t>https://drive.google.com/file/d/1cXBMPmmzFoiKkRuoHCLKx_PP2SJIJiLC/view?usp=drivesdk</t>
  </si>
  <si>
    <t>QT/ERTS-AB-2307</t>
  </si>
  <si>
    <t xml:space="preserve">COLD ROOM HANDLE </t>
  </si>
  <si>
    <t>https://drive.google.com/file/d/18J-FTHxlgLucrrfovBI9exRJ0VFUYQK_/view?usp=drivesdk</t>
  </si>
  <si>
    <t>QT/ERTS-AB-2313</t>
  </si>
  <si>
    <t>COMPRESSOR ICE MACHINE</t>
  </si>
  <si>
    <t>https://drive.google.com/file/d/1YKak3QtcvBfuv316d0ctxagRdHQQw29w/view?usp=drivesdk</t>
  </si>
  <si>
    <t>QT/ERTS-AB-2324</t>
  </si>
  <si>
    <t>BAKERY DISPLAY CHILLER COMPRESSOR</t>
  </si>
  <si>
    <t>INV/ERTS-1178</t>
  </si>
  <si>
    <t>https://drive.google.com/file/d/1IhCf4DYMjx1ICsQ8KKup6DAF7iAo7mui/view?usp=drivesdk</t>
  </si>
  <si>
    <t>QT/ERTS-AB-2335</t>
  </si>
  <si>
    <t>https://drive.google.com/file/d/1n8LCLCRrY7iS5wHerLZEuVAzk1gCzGju/view?usp=drivesdk</t>
  </si>
  <si>
    <t>ADM-ME-QTN-26-020</t>
  </si>
  <si>
    <t>ADM-ME0290</t>
  </si>
  <si>
    <t>https://drive.google.com/file/d/1aInOSn5sbOoXn5lSOEAqzHBCLn2PnSfO/view?usp=drivesdk</t>
  </si>
  <si>
    <t>CTS/QTN/NJ/SR/12012026000</t>
  </si>
  <si>
    <t xml:space="preserve">CCTV HARD DISK </t>
  </si>
  <si>
    <t>https://drive.google.com/file/d/14Gi8kw4zGJ9H3L2J0dJ34Wf_tQTNOpl8/view?usp=drivesdk</t>
  </si>
  <si>
    <t>ADM-QTN-26-132</t>
  </si>
  <si>
    <t xml:space="preserve">TAWAR QCD RECTIFICATION </t>
  </si>
  <si>
    <t>ADM-5264</t>
  </si>
  <si>
    <t>https://drive.google.com/file/d/1gq2NWG7fpgk9qpscXnElT7-VEy0IeBUj/view?usp=drivesdk</t>
  </si>
  <si>
    <t>IDS/0/208/2026</t>
  </si>
  <si>
    <t>PORTO ADDITIONAL FREEZER CABINET</t>
  </si>
  <si>
    <t>https://drive.google.com/file/d/1urvSOXQW8TmJ9pszUT9pmIb_S-qm2Wt5/view?usp=drivesdk</t>
  </si>
  <si>
    <t>QN30-092665-1</t>
  </si>
  <si>
    <t>PORTO HMR BT EQUIPMENTS</t>
  </si>
  <si>
    <t>https://drive.google.com/file/d/1I5OvwGFY-fBGe-iC3HVVPdMxtoU1damh/view?usp=drivesdk</t>
  </si>
  <si>
    <t>QT/ERTS-AB-2283</t>
  </si>
  <si>
    <t>AL MANA COLD ROOM RECTIFICATION</t>
  </si>
  <si>
    <t>INV/ERTS-1179</t>
  </si>
  <si>
    <t>https://drive.google.com/file/d/1-RCy9Lpu3io9CEFi95p_cQ0JPI_kE99n/view?usp=drivesdk</t>
  </si>
  <si>
    <t>QT/ERTS-AB-2338</t>
  </si>
  <si>
    <t>DRAIN HEATER BK COLD ROOM</t>
  </si>
  <si>
    <t>INV/ERTS-1180</t>
  </si>
  <si>
    <t>https://drive.google.com/file/d/1-8jJobNUTth5CqkRE7c2OqYQ-CdviFsp/view?usp=drivesdk</t>
  </si>
  <si>
    <t>QT/ERTS-AB-2345</t>
  </si>
  <si>
    <t>COLD ROOM EXPANSION VALVE REPLACEMENT</t>
  </si>
  <si>
    <t>INV/ERTS-1182</t>
  </si>
  <si>
    <t>https://drive.google.com/file/d/1H943ADf9Xc3WJA1pBvwirC8IGloMGzca/view?usp=drivesdk</t>
  </si>
  <si>
    <t>NCINV/26/1023,1025,1102</t>
  </si>
  <si>
    <t xml:space="preserve">REFRIGERANT GAS </t>
  </si>
  <si>
    <t>ADM-QTN-25-2031</t>
  </si>
  <si>
    <t xml:space="preserve">FA DEVICE RECTIFICATION </t>
  </si>
  <si>
    <t>ADM-5187</t>
  </si>
  <si>
    <t>https://drive.google.com/file/d/1vR9sGvUihnFnC976tw0ojx6FA0HxZQAZ/view?usp=drivesdk</t>
  </si>
  <si>
    <t>ADM-ME-QTN-25-242-R1</t>
  </si>
  <si>
    <t>ADM-ME0267</t>
  </si>
  <si>
    <t>https://drive.google.com/file/d/1RAZcZGruJ8Y1yQiyHTH8vacasIifXU36/view?usp=drivesdk</t>
  </si>
  <si>
    <t xml:space="preserve">EFFY SOLUTION </t>
  </si>
  <si>
    <t>ES/VT/03/2026/2401</t>
  </si>
  <si>
    <t>VEHICLE GPS TRACKING RENEWAL</t>
  </si>
  <si>
    <t>https://drive.google.com/file/d/1zc_oijkQ740z-Z0JjWYKXZ7SxuWUGssV/view?usp=drivesdk</t>
  </si>
  <si>
    <t>QTN-VXL-5091</t>
  </si>
  <si>
    <t>Main Glass door</t>
  </si>
  <si>
    <t>INV-VXL-026-270451</t>
  </si>
  <si>
    <t>https://drive.google.com/file/d/1Nia-QRZplMbyXoLC06_bEMHbHeMn5rly/view?usp=drivesdk</t>
  </si>
  <si>
    <t>QTN-VXL-5092</t>
  </si>
  <si>
    <t xml:space="preserve">HMR BUTCHERY MODIFICATION </t>
  </si>
  <si>
    <t>INV-VXL-026-270448</t>
  </si>
  <si>
    <t>https://drive.google.com/file/d/1Za3ZFAedilHTYGUahjn3lQXu5xICQBu7/view?usp=drivesdk</t>
  </si>
  <si>
    <t>QTN-VXL-5093</t>
  </si>
  <si>
    <t>FV WEIGHING SCALE AND TABLE</t>
  </si>
  <si>
    <t>INV-VXL-026-270449</t>
  </si>
  <si>
    <t>https://drive.google.com/file/d/1qvUoTbMRnBgiah3JK7_hgwACGZHDG8SZ/view?usp=drivesdk</t>
  </si>
  <si>
    <t>QTN-VXL-5094</t>
  </si>
  <si>
    <t>COLD ROOM CARCASS STAND &amp; SELF CHECKOUT</t>
  </si>
  <si>
    <t>INV-VXL-026-270450</t>
  </si>
  <si>
    <t>https://drive.google.com/file/d/1yMU8SNFt1e4XNzNXh6wZ2In3AJoIWSaw/view?usp=drivesdk</t>
  </si>
  <si>
    <t>QTN-VXL-5095</t>
  </si>
  <si>
    <t>Display Stands &amp; Tables</t>
  </si>
  <si>
    <t>INV-VXL-026-270458</t>
  </si>
  <si>
    <t>https://drive.google.com/file/d/1o_hjgzpYfC6tZE04DowdJgOUGoXyUgw1/view?usp=drivesdk</t>
  </si>
  <si>
    <t>ADM-QTN-26-466</t>
  </si>
  <si>
    <t xml:space="preserve">QCD rectification Works Fire Alram </t>
  </si>
  <si>
    <t>ADM-4945/2</t>
  </si>
  <si>
    <t>https://drive.google.com/file/d/1shgvHq9hWl16CxJpwf7Nrm4_9ZalK-Bb/view?usp=drivesdk</t>
  </si>
  <si>
    <t>ADM-ME-QTN-26-155</t>
  </si>
  <si>
    <t xml:space="preserve">AC Thermostat replacement </t>
  </si>
  <si>
    <t>https://drive.google.com/file/d/1_4KfgYD2EF_xiAp-Bw0WArW0Gyooq6n4/view?usp=drivesdk</t>
  </si>
  <si>
    <t>RW-Q/205-26/DD-174/FP-238/DR</t>
  </si>
  <si>
    <t>Receiving Dock Shutter rectitifaction</t>
  </si>
  <si>
    <t>https://drive.google.com/file/d/1Uo4uKTlHjR_O4zBSd3Zik65uQxTmUdpm/view?usp=drivesdk</t>
  </si>
  <si>
    <t>POSFIX</t>
  </si>
  <si>
    <t>TAWAR/Z3</t>
  </si>
  <si>
    <t>5811-000109-R6</t>
  </si>
  <si>
    <t>SHELF STRIPS AND PRICE LABEL STANDS</t>
  </si>
  <si>
    <t>https://drive.google.com/file/d/1hca6HaC1d9tShSeDxQcq9ONU3UIqivpE/view?usp=drivesdk</t>
  </si>
  <si>
    <t>QT/ERTS-AB-2337</t>
  </si>
  <si>
    <t>Compressor replacement water cooler Bakery</t>
  </si>
  <si>
    <t>INV/ERTS-1185</t>
  </si>
  <si>
    <t>https://drive.google.com/file/d/1ggs3E6i6G4vErTFpcMCevQeweQCaoYrt/view?usp=drivesdk</t>
  </si>
  <si>
    <t>QT/ERTS-AB-2346</t>
  </si>
  <si>
    <t xml:space="preserve">CONDENSOR COIL REPLACEMENT </t>
  </si>
  <si>
    <t>INV/ERTS-1203</t>
  </si>
  <si>
    <t>https://drive.google.com/file/d/1oWrwXK3_uR94y8AuPHNQbBVnXXePL5bZ/view?usp=drivesdk</t>
  </si>
  <si>
    <t>QT/ERTS-AB-2353</t>
  </si>
  <si>
    <t>INV/ERTS-1183</t>
  </si>
  <si>
    <t>https://drive.google.com/file/d/1dPTbx57lWcSAdR2RewbIFLLfkKJit04w/view?usp=drivesdk</t>
  </si>
  <si>
    <t>QT/ERTS-AB-2354</t>
  </si>
  <si>
    <t xml:space="preserve">condensor fan replacement </t>
  </si>
  <si>
    <t>INV/ERTS-1184</t>
  </si>
  <si>
    <t>https://drive.google.com/file/d/1tKmnAxPQhrnodTAd9Gm4WtHCO8PW9kHb/view?usp=drivesdk</t>
  </si>
  <si>
    <t>QT/ERTS-AB-2363</t>
  </si>
  <si>
    <t>COMPRESSOR REPLACEMENT FV CHILLER</t>
  </si>
  <si>
    <t>INV/ERTS-1186</t>
  </si>
  <si>
    <t>https://drive.google.com/file/d/1ezUQc3GOZgY_yxDiTMS6JbtcnXwK9HXy/view?usp=drivesdk</t>
  </si>
  <si>
    <t>QT/ERTS-AB-2369</t>
  </si>
  <si>
    <t xml:space="preserve">COLD ROOM DOOR HANDLE </t>
  </si>
  <si>
    <t>INV/ERTS-1204</t>
  </si>
  <si>
    <t>https://drive.google.com/file/d/1icNpyAC7zQfg5YnhvuhRQEgI-8WwcG4B/view?usp=drivesdk</t>
  </si>
  <si>
    <t>QT/ERTS-AB-2370</t>
  </si>
  <si>
    <t>COLD ROOM CONTROLLER</t>
  </si>
  <si>
    <t>INV/ERTS-1205</t>
  </si>
  <si>
    <t>https://drive.google.com/file/d/1z9VvYzGzVQDo8ad7vUiQELJPpUCrHUWv/view?usp=drivesdk</t>
  </si>
  <si>
    <t>QT/ERTS-AB-2374</t>
  </si>
  <si>
    <t xml:space="preserve">compressor replacement </t>
  </si>
  <si>
    <t>INV/ERTS-1206</t>
  </si>
  <si>
    <t>https://drive.google.com/file/d/1_px44GUeT5MzvOZ6gRKE-VGLwEg1Jki1/view?usp=drivesdk</t>
  </si>
  <si>
    <t>QT/ERTS-AB-2375</t>
  </si>
  <si>
    <t>COMPRESSOR REPLACEMENT</t>
  </si>
  <si>
    <t>INV/ERTS-1207</t>
  </si>
  <si>
    <t>https://drive.google.com/file/d/1tbIIz6QzhyMT2nh_O-lF3wndsyQhnBFv/view?usp=drivesdk</t>
  </si>
  <si>
    <t>QT/ERTS-AB-2403</t>
  </si>
  <si>
    <t>INV/ERTS-1187</t>
  </si>
  <si>
    <t>https://drive.google.com/file/d/11nN83pcC40o-4ASBCWl0Ns-fgUaMTQE6/view?usp=drivesdk</t>
  </si>
  <si>
    <t>QT/ERTS-AB-2405</t>
  </si>
  <si>
    <t>COLD SOLENOID VALVE RUBBER INSULATION</t>
  </si>
  <si>
    <t>INV/ERTS-1188</t>
  </si>
  <si>
    <t>https://drive.google.com/file/d/1H6DCyKJEgLm3RAZhlbirQx2Vlob7a3fs/view?usp=drivesdk</t>
  </si>
  <si>
    <t>QT/ERTS-AB-2406</t>
  </si>
  <si>
    <t>https://drive.google.com/file/d/1563Vtl4VeaKQGxezUl8WFImKaa0-ir_Z/view?usp=drivesdk</t>
  </si>
  <si>
    <t>QT/ERTS-AB-2407</t>
  </si>
  <si>
    <t>CONTROLLER &amp; CONTACTER</t>
  </si>
  <si>
    <t>INV/ERTS-1190</t>
  </si>
  <si>
    <t>https://drive.google.com/file/d/1q2YtRBFQKnP_3WQJkJrRp8fyU8XBu5Go/view?usp=drivesdk</t>
  </si>
  <si>
    <t>QT/ERTS-AB-2408</t>
  </si>
  <si>
    <t xml:space="preserve">PRIMARY PIPING </t>
  </si>
  <si>
    <t>INV/ERTS-1191</t>
  </si>
  <si>
    <t>https://drive.google.com/file/d/1MSlpMrGSJW2hrhEWZS7toXcc4qrUyi42/view?usp=drivesdk</t>
  </si>
  <si>
    <t>QT/ERTS-AB-2409</t>
  </si>
  <si>
    <t xml:space="preserve">COLD ROOM RECTIFICATION </t>
  </si>
  <si>
    <t>INV/ERTS-1193</t>
  </si>
  <si>
    <t>https://drive.google.com/file/d/1hgM97N9pABM-Mb5hUXrQ73tousStM1oe/view?usp=drivesdk</t>
  </si>
  <si>
    <t>QT/ERTS-AB-2410</t>
  </si>
  <si>
    <t xml:space="preserve">COLD ROOM PIPING INSULATION </t>
  </si>
  <si>
    <t>INV/ERTS-1192</t>
  </si>
  <si>
    <t>https://drive.google.com/file/d/1KZFwtw_fViInDp923K-sWdeFYgVd4T6b/view?usp=drivesdk</t>
  </si>
  <si>
    <t>MODEX</t>
  </si>
  <si>
    <t>MDX-QT-951-04-26</t>
  </si>
  <si>
    <t xml:space="preserve">FIRE ALARM PANEL PROGRAMMING </t>
  </si>
  <si>
    <t>https://drive.google.com/file/d/1-vEvK98J3AkILa3vvvlG8QB2Rcv54xlX/view?usp=drivesdk</t>
  </si>
  <si>
    <t>MLK9411</t>
  </si>
  <si>
    <t>HMR PASTRY COLD DISPLAY CHILLER</t>
  </si>
  <si>
    <t>https://drive.google.com/file/d/1XkpznlYE87K_Y3zdnzjqPjWWGgsUBmDD/view?usp=drivesdk</t>
  </si>
  <si>
    <t>IDS/0/292/2026</t>
  </si>
  <si>
    <t>GRAB&amp;GO CHILLER</t>
  </si>
  <si>
    <t>https://drive.google.com/file/d/1VajTPQw_Io_r3dPTWmU4zXbZVNMrKKTj/view?usp=drivesdk</t>
  </si>
  <si>
    <t>YATHRIB</t>
  </si>
  <si>
    <t>QNY2026-00062</t>
  </si>
  <si>
    <t>REPAIR FOR PIZZA OVEN</t>
  </si>
  <si>
    <t>https://drive.google.com/file/d/1c9Ev3r4GzwyHTz1WDwlYkRf4XjcdAAd3/view?usp=drivesdk</t>
  </si>
  <si>
    <t>QTN-VXL-5137</t>
  </si>
  <si>
    <t xml:space="preserve">PORTO FV DISPLAY CUSTOM UNITS </t>
  </si>
  <si>
    <t>INV-VXL-026-270482</t>
  </si>
  <si>
    <t>https://drive.google.com/file/d/1wCAscOPBLd-OT1zaCLxebJkP7vComUaU/view?usp=drivesdk</t>
  </si>
  <si>
    <t>QTN-VXL-5135</t>
  </si>
  <si>
    <t xml:space="preserve">FV Decorative Wall Panel Instalaltion </t>
  </si>
  <si>
    <t>INV-VXL-026-270484</t>
  </si>
  <si>
    <t>https://drive.google.com/file/d/1onuDX4FYUKhSijwqtzVqws-pFeCexzEP/view?usp=drivesdk</t>
  </si>
  <si>
    <t>QTN-VXL-5138</t>
  </si>
  <si>
    <t xml:space="preserve">FISHERY FLOOR GRATING </t>
  </si>
  <si>
    <t>INV-VXL-026-270483</t>
  </si>
  <si>
    <t>https://drive.google.com/file/d/1-xOzV090wZvntxK-7gaRTrkjlSjiSoRM/view?usp=drivesdk</t>
  </si>
  <si>
    <t>AMC FIRE</t>
  </si>
  <si>
    <t>MEP WORKS</t>
  </si>
  <si>
    <t>HVAC AMC</t>
  </si>
  <si>
    <t>448/2026</t>
  </si>
  <si>
    <t>PI-2026-009</t>
  </si>
  <si>
    <t>ADM-QTN-26-636</t>
  </si>
  <si>
    <t>FIRE EXTINGUISHER Refill EMG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</si>
</sst>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QAR]\ #,##0.00"/>
    <numFmt numFmtId="165" formatCode="[$EUR]\ #,##0.00"/>
    <numFmt numFmtId="166" formatCode="[$USD]\ #,##0.00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2060"/>
      <name val="Calibri"/>
      <family val="2"/>
    </font>
    <font>
      <sz val="10"/>
      <name val="Arial"/>
      <family val="2"/>
    </font>
    <font>
      <b/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164" fontId="2" fillId="3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vertical="center" wrapText="1"/>
    </xf>
    <xf numFmtId="0" fontId="2" fillId="0" borderId="0" xfId="0" applyFont="1"/>
    <xf numFmtId="14" fontId="0" fillId="0" borderId="0" xfId="0" applyNumberFormat="1"/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1"/>
  <sheetViews>
    <sheetView tabSelected="1" topLeftCell="A461" workbookViewId="0">
      <selection activeCell="D485" sqref="D485"/>
    </sheetView>
  </sheetViews>
  <sheetFormatPr defaultRowHeight="15" x14ac:dyDescent="0.25"/>
  <cols>
    <col min="1" max="1" width="8.85546875" style="3" customWidth="1"/>
    <col min="2" max="2" width="25.28515625" style="3" customWidth="1"/>
    <col min="3" max="3" width="22.28515625" style="3" customWidth="1"/>
    <col min="4" max="4" width="35.5703125" style="3" customWidth="1"/>
    <col min="5" max="5" width="32.140625" style="3" customWidth="1"/>
    <col min="6" max="6" width="42.7109375" style="3" customWidth="1"/>
    <col min="7" max="7" width="15.7109375" style="9" customWidth="1"/>
    <col min="8" max="8" width="14.7109375" style="3" customWidth="1"/>
    <col min="9" max="9" width="13.85546875" style="3" customWidth="1"/>
    <col min="10" max="10" width="37.5703125" customWidth="1"/>
    <col min="11" max="11" width="21.85546875" style="3" customWidth="1"/>
    <col min="12" max="12" width="17.5703125" style="3" customWidth="1"/>
    <col min="13" max="14" width="16.28515625" customWidth="1"/>
    <col min="15" max="15" width="19.140625" customWidth="1"/>
    <col min="16" max="16" width="17" style="3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8" t="s">
        <v>13</v>
      </c>
      <c r="O1" s="18" t="s">
        <v>14</v>
      </c>
      <c r="P1" s="21" t="s">
        <v>15</v>
      </c>
      <c r="Q1" t="s">
        <v>16</v>
      </c>
    </row>
    <row r="2" spans="1:17" x14ac:dyDescent="0.25">
      <c r="A2" s="5">
        <v>4716</v>
      </c>
      <c r="B2" s="3" t="s">
        <v>17</v>
      </c>
      <c r="C2" s="3" t="s">
        <v>18</v>
      </c>
      <c r="D2" s="3" t="s">
        <v>19</v>
      </c>
      <c r="F2" s="3" t="s">
        <v>20</v>
      </c>
      <c r="G2" s="9">
        <v>900</v>
      </c>
      <c r="H2" s="3" t="s">
        <v>21</v>
      </c>
      <c r="I2" s="4">
        <v>45200</v>
      </c>
      <c r="J2" t="s">
        <v>22</v>
      </c>
      <c r="K2" s="3" t="s">
        <v>23</v>
      </c>
      <c r="L2" s="3" t="s">
        <v>23</v>
      </c>
      <c r="P2" s="3" t="s">
        <v>24</v>
      </c>
      <c r="Q2" t="s">
        <v>25</v>
      </c>
    </row>
    <row r="3" spans="1:17" x14ac:dyDescent="0.25">
      <c r="A3" s="5">
        <v>4717</v>
      </c>
      <c r="B3" s="3" t="s">
        <v>17</v>
      </c>
      <c r="C3" s="3" t="s">
        <v>26</v>
      </c>
      <c r="D3" s="3" t="s">
        <v>19</v>
      </c>
      <c r="F3" s="3" t="s">
        <v>27</v>
      </c>
      <c r="G3" s="9">
        <v>1200</v>
      </c>
      <c r="H3" s="3" t="s">
        <v>21</v>
      </c>
      <c r="I3" s="4">
        <v>45200</v>
      </c>
      <c r="J3" t="s">
        <v>22</v>
      </c>
      <c r="K3" s="3" t="s">
        <v>23</v>
      </c>
      <c r="L3" s="3" t="s">
        <v>23</v>
      </c>
      <c r="P3" s="3" t="s">
        <v>24</v>
      </c>
      <c r="Q3" t="s">
        <v>28</v>
      </c>
    </row>
    <row r="4" spans="1:17" x14ac:dyDescent="0.25">
      <c r="A4" s="5">
        <v>4718</v>
      </c>
      <c r="B4" s="3" t="s">
        <v>17</v>
      </c>
      <c r="C4" s="3" t="s">
        <v>29</v>
      </c>
      <c r="D4" s="3" t="s">
        <v>19</v>
      </c>
      <c r="F4" s="3" t="s">
        <v>27</v>
      </c>
      <c r="G4" s="9">
        <v>160</v>
      </c>
      <c r="H4" s="3" t="s">
        <v>21</v>
      </c>
      <c r="I4" s="4">
        <v>45200</v>
      </c>
      <c r="J4" t="s">
        <v>22</v>
      </c>
      <c r="K4" s="3" t="s">
        <v>23</v>
      </c>
      <c r="L4" s="3" t="s">
        <v>23</v>
      </c>
      <c r="P4" s="3" t="s">
        <v>24</v>
      </c>
      <c r="Q4" t="s">
        <v>30</v>
      </c>
    </row>
    <row r="5" spans="1:17" x14ac:dyDescent="0.25">
      <c r="A5" s="5">
        <v>4719</v>
      </c>
      <c r="B5" s="3" t="s">
        <v>17</v>
      </c>
      <c r="C5" s="3" t="s">
        <v>31</v>
      </c>
      <c r="D5" s="3" t="s">
        <v>19</v>
      </c>
      <c r="F5" s="3" t="s">
        <v>32</v>
      </c>
      <c r="G5" s="9">
        <v>120</v>
      </c>
      <c r="H5" s="3" t="s">
        <v>21</v>
      </c>
      <c r="I5" s="4">
        <v>45215</v>
      </c>
      <c r="J5" t="s">
        <v>22</v>
      </c>
      <c r="K5" s="3" t="s">
        <v>23</v>
      </c>
      <c r="L5" s="3" t="s">
        <v>23</v>
      </c>
      <c r="P5" s="3" t="s">
        <v>24</v>
      </c>
      <c r="Q5" t="s">
        <v>33</v>
      </c>
    </row>
    <row r="6" spans="1:17" x14ac:dyDescent="0.25">
      <c r="A6" s="5">
        <v>4720</v>
      </c>
      <c r="B6" s="3" t="s">
        <v>17</v>
      </c>
      <c r="C6" s="3" t="s">
        <v>34</v>
      </c>
      <c r="D6" s="3" t="s">
        <v>35</v>
      </c>
      <c r="F6" s="3" t="s">
        <v>36</v>
      </c>
      <c r="G6" s="9">
        <v>12500</v>
      </c>
      <c r="H6" s="3" t="s">
        <v>21</v>
      </c>
      <c r="I6" s="4">
        <v>45216</v>
      </c>
      <c r="J6" t="s">
        <v>37</v>
      </c>
      <c r="K6" s="3" t="s">
        <v>23</v>
      </c>
      <c r="L6" s="3" t="s">
        <v>23</v>
      </c>
      <c r="M6" s="6" t="s">
        <v>24</v>
      </c>
      <c r="N6" s="3"/>
      <c r="O6" s="3"/>
      <c r="P6" s="3" t="s">
        <v>24</v>
      </c>
      <c r="Q6" t="s">
        <v>38</v>
      </c>
    </row>
    <row r="7" spans="1:17" x14ac:dyDescent="0.25">
      <c r="A7" s="3">
        <v>4721</v>
      </c>
      <c r="B7" s="3" t="s">
        <v>39</v>
      </c>
      <c r="C7" s="3" t="s">
        <v>40</v>
      </c>
      <c r="D7" s="3" t="s">
        <v>41</v>
      </c>
      <c r="F7" s="3" t="s">
        <v>42</v>
      </c>
      <c r="G7" s="9">
        <v>5000</v>
      </c>
      <c r="H7" s="3" t="s">
        <v>21</v>
      </c>
      <c r="I7" s="4">
        <v>45225</v>
      </c>
      <c r="J7" t="s">
        <v>22</v>
      </c>
      <c r="K7" s="3" t="s">
        <v>23</v>
      </c>
      <c r="L7" s="3" t="s">
        <v>23</v>
      </c>
      <c r="P7" s="3" t="s">
        <v>24</v>
      </c>
      <c r="Q7" t="s">
        <v>43</v>
      </c>
    </row>
    <row r="8" spans="1:17" x14ac:dyDescent="0.25">
      <c r="A8" s="5">
        <v>4722</v>
      </c>
      <c r="B8" s="3" t="s">
        <v>17</v>
      </c>
      <c r="C8" s="3" t="s">
        <v>44</v>
      </c>
      <c r="D8" s="3" t="s">
        <v>19</v>
      </c>
      <c r="F8" s="3" t="s">
        <v>45</v>
      </c>
      <c r="G8" s="9">
        <v>2450</v>
      </c>
      <c r="H8" s="3" t="s">
        <v>21</v>
      </c>
      <c r="I8" s="4">
        <v>45225</v>
      </c>
      <c r="J8" t="s">
        <v>37</v>
      </c>
      <c r="K8" s="3" t="s">
        <v>23</v>
      </c>
      <c r="L8" s="3" t="s">
        <v>23</v>
      </c>
      <c r="P8" s="3" t="s">
        <v>24</v>
      </c>
      <c r="Q8" t="s">
        <v>46</v>
      </c>
    </row>
    <row r="9" spans="1:17" x14ac:dyDescent="0.25">
      <c r="A9" s="5">
        <v>4724</v>
      </c>
      <c r="B9" s="3" t="s">
        <v>17</v>
      </c>
      <c r="C9" s="3" t="s">
        <v>40</v>
      </c>
      <c r="D9" s="3" t="s">
        <v>35</v>
      </c>
      <c r="F9" s="3" t="s">
        <v>47</v>
      </c>
      <c r="G9" s="9">
        <v>740</v>
      </c>
      <c r="H9" s="3" t="s">
        <v>21</v>
      </c>
      <c r="I9" s="4">
        <v>45231</v>
      </c>
      <c r="J9" t="s">
        <v>22</v>
      </c>
      <c r="K9" s="3" t="s">
        <v>23</v>
      </c>
      <c r="L9" s="3" t="s">
        <v>23</v>
      </c>
      <c r="P9" s="3" t="s">
        <v>24</v>
      </c>
      <c r="Q9" t="s">
        <v>48</v>
      </c>
    </row>
    <row r="10" spans="1:17" x14ac:dyDescent="0.25">
      <c r="A10" s="5">
        <v>4746</v>
      </c>
      <c r="B10" s="3" t="s">
        <v>49</v>
      </c>
      <c r="C10" s="3" t="s">
        <v>40</v>
      </c>
      <c r="D10" s="3" t="s">
        <v>50</v>
      </c>
      <c r="F10" s="3" t="s">
        <v>51</v>
      </c>
      <c r="G10" s="10">
        <f>5790-4053</f>
        <v>1737</v>
      </c>
      <c r="H10" s="3" t="s">
        <v>21</v>
      </c>
      <c r="I10" s="4">
        <v>45235</v>
      </c>
      <c r="J10" t="s">
        <v>52</v>
      </c>
      <c r="K10" s="3" t="s">
        <v>23</v>
      </c>
      <c r="L10" s="3" t="s">
        <v>23</v>
      </c>
      <c r="M10" s="6" t="s">
        <v>53</v>
      </c>
      <c r="N10" s="3"/>
      <c r="O10" s="3"/>
      <c r="P10" s="3" t="s">
        <v>24</v>
      </c>
      <c r="Q10" t="s">
        <v>54</v>
      </c>
    </row>
    <row r="11" spans="1:17" x14ac:dyDescent="0.25">
      <c r="A11" s="5">
        <v>4747</v>
      </c>
      <c r="B11" s="3" t="s">
        <v>17</v>
      </c>
      <c r="C11" s="3" t="s">
        <v>40</v>
      </c>
      <c r="D11" s="3" t="s">
        <v>35</v>
      </c>
      <c r="F11" s="3" t="s">
        <v>55</v>
      </c>
      <c r="G11" s="9">
        <v>740</v>
      </c>
      <c r="H11" s="3" t="s">
        <v>21</v>
      </c>
      <c r="I11" s="4">
        <v>45235</v>
      </c>
      <c r="J11" t="s">
        <v>22</v>
      </c>
      <c r="K11" s="3" t="s">
        <v>23</v>
      </c>
      <c r="L11" s="3" t="s">
        <v>23</v>
      </c>
      <c r="M11" s="3" t="s">
        <v>24</v>
      </c>
      <c r="N11" s="3"/>
      <c r="O11" s="3"/>
      <c r="P11" s="3" t="s">
        <v>24</v>
      </c>
      <c r="Q11" t="s">
        <v>56</v>
      </c>
    </row>
    <row r="12" spans="1:17" x14ac:dyDescent="0.25">
      <c r="A12" s="5">
        <v>4749</v>
      </c>
      <c r="B12" s="3" t="s">
        <v>57</v>
      </c>
      <c r="C12" s="3" t="s">
        <v>34</v>
      </c>
      <c r="D12" s="3" t="s">
        <v>58</v>
      </c>
      <c r="F12" s="3" t="s">
        <v>59</v>
      </c>
      <c r="G12" s="9">
        <f>2179.68</f>
        <v>2179.6799999999998</v>
      </c>
      <c r="H12" s="3" t="s">
        <v>21</v>
      </c>
      <c r="I12" s="4">
        <v>45236</v>
      </c>
      <c r="J12" t="s">
        <v>37</v>
      </c>
      <c r="K12" s="3" t="s">
        <v>23</v>
      </c>
      <c r="L12" s="3" t="s">
        <v>23</v>
      </c>
      <c r="M12" s="6" t="s">
        <v>24</v>
      </c>
      <c r="N12" s="3"/>
      <c r="O12" s="3"/>
      <c r="P12" s="3" t="s">
        <v>24</v>
      </c>
      <c r="Q12" t="s">
        <v>60</v>
      </c>
    </row>
    <row r="13" spans="1:17" x14ac:dyDescent="0.25">
      <c r="A13" s="5">
        <v>4750</v>
      </c>
      <c r="B13" s="3" t="s">
        <v>17</v>
      </c>
      <c r="C13" s="3" t="s">
        <v>31</v>
      </c>
      <c r="D13" s="3" t="s">
        <v>19</v>
      </c>
      <c r="F13" s="3" t="s">
        <v>61</v>
      </c>
      <c r="G13" s="9">
        <v>2850</v>
      </c>
      <c r="H13" s="3" t="s">
        <v>21</v>
      </c>
      <c r="I13" s="4">
        <v>45239</v>
      </c>
      <c r="J13" t="s">
        <v>37</v>
      </c>
      <c r="K13" s="3" t="s">
        <v>23</v>
      </c>
      <c r="L13" s="3" t="s">
        <v>23</v>
      </c>
      <c r="P13" s="3" t="s">
        <v>24</v>
      </c>
      <c r="Q13" t="s">
        <v>62</v>
      </c>
    </row>
    <row r="14" spans="1:17" x14ac:dyDescent="0.25">
      <c r="A14" s="5">
        <v>4751</v>
      </c>
      <c r="B14" s="3" t="s">
        <v>63</v>
      </c>
      <c r="C14" s="3" t="s">
        <v>40</v>
      </c>
      <c r="D14" s="3" t="s">
        <v>64</v>
      </c>
      <c r="F14" s="3" t="s">
        <v>65</v>
      </c>
      <c r="G14" s="9">
        <f>95570-33449.5</f>
        <v>62120.5</v>
      </c>
      <c r="H14" s="3" t="s">
        <v>21</v>
      </c>
      <c r="I14" s="4">
        <v>45242</v>
      </c>
      <c r="J14" t="s">
        <v>66</v>
      </c>
      <c r="K14" s="3" t="s">
        <v>23</v>
      </c>
      <c r="L14" s="3" t="s">
        <v>23</v>
      </c>
      <c r="M14" s="6" t="s">
        <v>53</v>
      </c>
      <c r="N14" s="3"/>
      <c r="O14" s="3"/>
      <c r="P14" s="3" t="s">
        <v>24</v>
      </c>
      <c r="Q14" t="s">
        <v>67</v>
      </c>
    </row>
    <row r="15" spans="1:17" x14ac:dyDescent="0.25">
      <c r="A15" s="5">
        <v>4761</v>
      </c>
      <c r="B15" s="3" t="s">
        <v>68</v>
      </c>
      <c r="C15" s="3" t="s">
        <v>40</v>
      </c>
      <c r="D15" s="3" t="s">
        <v>69</v>
      </c>
      <c r="F15" s="3" t="s">
        <v>69</v>
      </c>
      <c r="G15" s="10">
        <f>4000-1000</f>
        <v>3000</v>
      </c>
      <c r="H15" s="3" t="s">
        <v>21</v>
      </c>
      <c r="I15" s="4">
        <v>45244</v>
      </c>
      <c r="J15" t="s">
        <v>70</v>
      </c>
      <c r="K15" s="3" t="s">
        <v>23</v>
      </c>
      <c r="L15" s="3" t="s">
        <v>23</v>
      </c>
      <c r="M15" s="6" t="s">
        <v>24</v>
      </c>
      <c r="N15" s="3"/>
      <c r="O15" s="3"/>
      <c r="P15" s="3" t="s">
        <v>24</v>
      </c>
      <c r="Q15" t="s">
        <v>71</v>
      </c>
    </row>
    <row r="16" spans="1:17" x14ac:dyDescent="0.25">
      <c r="A16" s="5">
        <v>4762</v>
      </c>
      <c r="B16" s="3" t="s">
        <v>72</v>
      </c>
      <c r="C16" s="3" t="s">
        <v>29</v>
      </c>
      <c r="D16" s="3" t="s">
        <v>73</v>
      </c>
      <c r="F16" s="3" t="s">
        <v>74</v>
      </c>
      <c r="G16" s="9">
        <v>16000</v>
      </c>
      <c r="H16" s="3" t="s">
        <v>21</v>
      </c>
      <c r="I16" s="4">
        <v>45249</v>
      </c>
      <c r="J16" t="s">
        <v>70</v>
      </c>
      <c r="K16" s="3" t="s">
        <v>23</v>
      </c>
      <c r="L16" s="3" t="s">
        <v>23</v>
      </c>
      <c r="M16" s="3"/>
      <c r="N16" s="3"/>
      <c r="O16" s="3"/>
      <c r="P16" s="3" t="s">
        <v>24</v>
      </c>
      <c r="Q16" t="s">
        <v>75</v>
      </c>
    </row>
    <row r="17" spans="1:17" x14ac:dyDescent="0.25">
      <c r="A17" s="5">
        <v>4776</v>
      </c>
      <c r="B17" s="3" t="s">
        <v>76</v>
      </c>
      <c r="C17" s="3" t="s">
        <v>40</v>
      </c>
      <c r="D17" s="3" t="s">
        <v>77</v>
      </c>
      <c r="F17" s="3" t="s">
        <v>78</v>
      </c>
      <c r="G17" s="9">
        <f>55000</f>
        <v>55000</v>
      </c>
      <c r="H17" s="3" t="s">
        <v>21</v>
      </c>
      <c r="I17" s="4">
        <v>45253</v>
      </c>
      <c r="J17" t="s">
        <v>79</v>
      </c>
      <c r="K17" s="3" t="s">
        <v>23</v>
      </c>
      <c r="L17" s="3" t="s">
        <v>23</v>
      </c>
      <c r="M17" s="6" t="s">
        <v>24</v>
      </c>
      <c r="N17" s="3"/>
      <c r="O17" s="3"/>
      <c r="P17" s="3" t="s">
        <v>24</v>
      </c>
      <c r="Q17" t="s">
        <v>80</v>
      </c>
    </row>
    <row r="18" spans="1:17" x14ac:dyDescent="0.25">
      <c r="A18" s="5">
        <v>4777</v>
      </c>
      <c r="B18" s="3" t="s">
        <v>63</v>
      </c>
      <c r="C18" s="3" t="s">
        <v>40</v>
      </c>
      <c r="D18" s="3" t="s">
        <v>81</v>
      </c>
      <c r="F18" s="3" t="s">
        <v>82</v>
      </c>
      <c r="G18" s="9">
        <v>3500</v>
      </c>
      <c r="H18" s="3" t="s">
        <v>21</v>
      </c>
      <c r="I18" s="4">
        <v>45260</v>
      </c>
      <c r="J18" t="s">
        <v>22</v>
      </c>
      <c r="K18" s="3" t="s">
        <v>23</v>
      </c>
      <c r="L18" s="3" t="s">
        <v>23</v>
      </c>
      <c r="P18" s="3" t="s">
        <v>24</v>
      </c>
      <c r="Q18" t="s">
        <v>83</v>
      </c>
    </row>
    <row r="19" spans="1:17" x14ac:dyDescent="0.25">
      <c r="A19" s="5">
        <v>4778</v>
      </c>
      <c r="B19" s="3" t="s">
        <v>63</v>
      </c>
      <c r="C19" s="3" t="s">
        <v>40</v>
      </c>
      <c r="D19" s="3" t="s">
        <v>64</v>
      </c>
      <c r="F19" s="3" t="s">
        <v>84</v>
      </c>
      <c r="G19" s="9">
        <v>6000</v>
      </c>
      <c r="H19" s="3" t="s">
        <v>21</v>
      </c>
      <c r="I19" s="4">
        <v>45260</v>
      </c>
      <c r="J19" t="s">
        <v>22</v>
      </c>
      <c r="K19" s="3" t="s">
        <v>23</v>
      </c>
      <c r="L19" s="3" t="s">
        <v>23</v>
      </c>
      <c r="P19" s="3" t="s">
        <v>24</v>
      </c>
      <c r="Q19" t="s">
        <v>85</v>
      </c>
    </row>
    <row r="20" spans="1:17" x14ac:dyDescent="0.25">
      <c r="A20" s="5">
        <v>4797</v>
      </c>
      <c r="B20" s="3" t="s">
        <v>17</v>
      </c>
      <c r="C20" s="3" t="s">
        <v>40</v>
      </c>
      <c r="D20" s="3" t="s">
        <v>35</v>
      </c>
      <c r="F20" s="3" t="s">
        <v>86</v>
      </c>
      <c r="G20" s="9">
        <v>2910</v>
      </c>
      <c r="H20" s="3" t="s">
        <v>21</v>
      </c>
      <c r="I20" s="4">
        <v>45265</v>
      </c>
      <c r="J20" t="s">
        <v>37</v>
      </c>
      <c r="K20" s="3" t="s">
        <v>23</v>
      </c>
      <c r="L20" s="3" t="s">
        <v>23</v>
      </c>
      <c r="M20" s="3" t="s">
        <v>24</v>
      </c>
      <c r="N20" s="3"/>
      <c r="O20" s="3"/>
      <c r="P20" s="3" t="s">
        <v>24</v>
      </c>
      <c r="Q20" t="s">
        <v>87</v>
      </c>
    </row>
    <row r="21" spans="1:17" x14ac:dyDescent="0.25">
      <c r="A21" s="5">
        <v>4798</v>
      </c>
      <c r="B21" s="3" t="s">
        <v>88</v>
      </c>
      <c r="C21" s="3" t="s">
        <v>40</v>
      </c>
      <c r="D21" s="3" t="s">
        <v>64</v>
      </c>
      <c r="F21" s="3" t="s">
        <v>89</v>
      </c>
      <c r="G21" s="9">
        <v>20750</v>
      </c>
      <c r="H21" s="3" t="s">
        <v>21</v>
      </c>
      <c r="I21" s="4">
        <v>45265</v>
      </c>
      <c r="J21" t="s">
        <v>90</v>
      </c>
      <c r="K21" s="3" t="s">
        <v>23</v>
      </c>
      <c r="L21" s="3" t="s">
        <v>23</v>
      </c>
      <c r="P21" s="3" t="s">
        <v>24</v>
      </c>
      <c r="Q21" t="s">
        <v>91</v>
      </c>
    </row>
    <row r="22" spans="1:17" x14ac:dyDescent="0.25">
      <c r="A22" s="5">
        <v>4799</v>
      </c>
      <c r="B22" s="3" t="s">
        <v>63</v>
      </c>
      <c r="C22" s="3" t="s">
        <v>40</v>
      </c>
      <c r="D22" s="3" t="s">
        <v>64</v>
      </c>
      <c r="F22" s="3" t="s">
        <v>92</v>
      </c>
      <c r="G22" s="9">
        <v>14750</v>
      </c>
      <c r="H22" s="3" t="s">
        <v>21</v>
      </c>
      <c r="I22" s="4">
        <v>45267</v>
      </c>
      <c r="J22" t="s">
        <v>90</v>
      </c>
      <c r="K22" s="3" t="s">
        <v>23</v>
      </c>
      <c r="L22" s="3" t="s">
        <v>23</v>
      </c>
      <c r="P22" s="3" t="s">
        <v>24</v>
      </c>
      <c r="Q22" t="s">
        <v>93</v>
      </c>
    </row>
    <row r="23" spans="1:17" x14ac:dyDescent="0.25">
      <c r="A23" s="5">
        <v>4802</v>
      </c>
      <c r="B23" s="3" t="s">
        <v>63</v>
      </c>
      <c r="C23" s="3" t="s">
        <v>40</v>
      </c>
      <c r="D23" s="3" t="s">
        <v>19</v>
      </c>
      <c r="F23" s="3" t="s">
        <v>94</v>
      </c>
      <c r="G23" s="9">
        <v>12250</v>
      </c>
      <c r="H23" s="3" t="s">
        <v>21</v>
      </c>
      <c r="I23" s="4">
        <v>45272</v>
      </c>
      <c r="J23" t="s">
        <v>90</v>
      </c>
      <c r="K23" s="3" t="s">
        <v>23</v>
      </c>
      <c r="L23" s="3" t="s">
        <v>23</v>
      </c>
      <c r="P23" s="3" t="s">
        <v>24</v>
      </c>
      <c r="Q23" t="s">
        <v>95</v>
      </c>
    </row>
    <row r="24" spans="1:17" x14ac:dyDescent="0.25">
      <c r="A24" s="5">
        <v>4803</v>
      </c>
      <c r="B24" s="3" t="s">
        <v>96</v>
      </c>
      <c r="C24" s="3" t="s">
        <v>40</v>
      </c>
      <c r="D24" s="3" t="s">
        <v>35</v>
      </c>
      <c r="F24" s="3" t="s">
        <v>97</v>
      </c>
      <c r="G24" s="9">
        <v>4000</v>
      </c>
      <c r="H24" s="3" t="s">
        <v>21</v>
      </c>
      <c r="I24" s="4">
        <v>45277</v>
      </c>
      <c r="J24" t="s">
        <v>37</v>
      </c>
      <c r="K24" s="3" t="s">
        <v>23</v>
      </c>
      <c r="L24" s="3" t="s">
        <v>23</v>
      </c>
      <c r="P24" s="3" t="s">
        <v>24</v>
      </c>
      <c r="Q24" t="s">
        <v>98</v>
      </c>
    </row>
    <row r="25" spans="1:17" x14ac:dyDescent="0.25">
      <c r="A25" s="5">
        <v>4804</v>
      </c>
      <c r="B25" s="3" t="s">
        <v>39</v>
      </c>
      <c r="C25" s="3" t="s">
        <v>40</v>
      </c>
      <c r="D25" s="3" t="s">
        <v>41</v>
      </c>
      <c r="F25" s="3" t="s">
        <v>99</v>
      </c>
      <c r="G25" s="9">
        <v>950</v>
      </c>
      <c r="H25" s="3" t="s">
        <v>21</v>
      </c>
      <c r="I25" s="4">
        <v>45279</v>
      </c>
      <c r="J25" t="s">
        <v>22</v>
      </c>
      <c r="K25" s="3" t="s">
        <v>23</v>
      </c>
      <c r="L25" s="3" t="s">
        <v>23</v>
      </c>
      <c r="P25" s="3" t="s">
        <v>24</v>
      </c>
      <c r="Q25" t="s">
        <v>100</v>
      </c>
    </row>
    <row r="26" spans="1:17" x14ac:dyDescent="0.25">
      <c r="A26" s="5">
        <v>4812</v>
      </c>
      <c r="B26" s="3" t="s">
        <v>17</v>
      </c>
      <c r="C26" s="3" t="s">
        <v>34</v>
      </c>
      <c r="D26" s="3" t="s">
        <v>35</v>
      </c>
      <c r="F26" s="3" t="s">
        <v>101</v>
      </c>
      <c r="G26" s="9">
        <v>550</v>
      </c>
      <c r="H26" s="3" t="s">
        <v>21</v>
      </c>
      <c r="I26" s="4">
        <v>45279</v>
      </c>
      <c r="J26" t="s">
        <v>22</v>
      </c>
      <c r="K26" s="3" t="s">
        <v>23</v>
      </c>
      <c r="L26" s="3" t="s">
        <v>23</v>
      </c>
      <c r="M26" s="3" t="s">
        <v>24</v>
      </c>
      <c r="N26" s="3"/>
      <c r="O26" s="3"/>
      <c r="P26" s="3" t="s">
        <v>24</v>
      </c>
      <c r="Q26" t="s">
        <v>102</v>
      </c>
    </row>
    <row r="27" spans="1:17" x14ac:dyDescent="0.25">
      <c r="A27" s="5">
        <v>4813</v>
      </c>
      <c r="B27" s="3" t="s">
        <v>17</v>
      </c>
      <c r="C27" s="3" t="s">
        <v>34</v>
      </c>
      <c r="D27" s="3" t="s">
        <v>35</v>
      </c>
      <c r="F27" s="3" t="s">
        <v>103</v>
      </c>
      <c r="G27" s="9">
        <v>3000</v>
      </c>
      <c r="H27" s="3" t="s">
        <v>21</v>
      </c>
      <c r="I27" s="4">
        <v>45285</v>
      </c>
      <c r="J27" t="s">
        <v>37</v>
      </c>
      <c r="K27" s="3" t="s">
        <v>23</v>
      </c>
      <c r="L27" s="3" t="s">
        <v>23</v>
      </c>
      <c r="P27" s="3" t="s">
        <v>24</v>
      </c>
      <c r="Q27" t="s">
        <v>104</v>
      </c>
    </row>
    <row r="28" spans="1:17" x14ac:dyDescent="0.25">
      <c r="A28" s="5">
        <v>4814</v>
      </c>
      <c r="B28" s="3" t="s">
        <v>68</v>
      </c>
      <c r="C28" s="3" t="s">
        <v>40</v>
      </c>
      <c r="D28" s="3" t="s">
        <v>50</v>
      </c>
      <c r="F28" s="3" t="s">
        <v>105</v>
      </c>
      <c r="G28" s="9">
        <v>2100</v>
      </c>
      <c r="H28" s="3" t="s">
        <v>21</v>
      </c>
      <c r="I28" s="4">
        <v>45287</v>
      </c>
      <c r="J28" t="s">
        <v>22</v>
      </c>
      <c r="K28" s="3" t="s">
        <v>23</v>
      </c>
      <c r="L28" s="3" t="s">
        <v>23</v>
      </c>
      <c r="P28" s="3" t="s">
        <v>24</v>
      </c>
      <c r="Q28" t="s">
        <v>106</v>
      </c>
    </row>
    <row r="29" spans="1:17" x14ac:dyDescent="0.25">
      <c r="A29" s="5">
        <v>4824</v>
      </c>
      <c r="B29" s="3" t="s">
        <v>107</v>
      </c>
      <c r="C29" s="3" t="s">
        <v>40</v>
      </c>
      <c r="D29" s="3" t="s">
        <v>108</v>
      </c>
      <c r="F29" s="3" t="s">
        <v>109</v>
      </c>
      <c r="G29" s="9">
        <v>5796</v>
      </c>
      <c r="H29" s="3" t="s">
        <v>21</v>
      </c>
      <c r="I29" s="4">
        <v>45294</v>
      </c>
      <c r="J29" t="s">
        <v>37</v>
      </c>
      <c r="K29" s="3" t="s">
        <v>23</v>
      </c>
      <c r="L29" s="3" t="s">
        <v>23</v>
      </c>
      <c r="M29" s="7" t="s">
        <v>110</v>
      </c>
      <c r="N29" s="3"/>
      <c r="O29" s="3"/>
      <c r="P29" s="3" t="s">
        <v>24</v>
      </c>
      <c r="Q29" t="s">
        <v>111</v>
      </c>
    </row>
    <row r="30" spans="1:17" x14ac:dyDescent="0.25">
      <c r="A30" s="5">
        <v>4825</v>
      </c>
      <c r="B30" s="3" t="s">
        <v>17</v>
      </c>
      <c r="C30" s="3" t="s">
        <v>34</v>
      </c>
      <c r="D30" s="3" t="s">
        <v>35</v>
      </c>
      <c r="F30" s="3" t="s">
        <v>27</v>
      </c>
      <c r="G30" s="9">
        <v>1200</v>
      </c>
      <c r="H30" s="3" t="s">
        <v>21</v>
      </c>
      <c r="I30" s="4">
        <v>45288</v>
      </c>
      <c r="J30" t="s">
        <v>22</v>
      </c>
      <c r="K30" s="3" t="s">
        <v>23</v>
      </c>
      <c r="L30" s="3" t="s">
        <v>23</v>
      </c>
      <c r="M30" s="3" t="s">
        <v>24</v>
      </c>
      <c r="N30" s="3"/>
      <c r="O30" s="3"/>
      <c r="P30" s="3" t="s">
        <v>24</v>
      </c>
      <c r="Q30" t="s">
        <v>112</v>
      </c>
    </row>
    <row r="31" spans="1:17" x14ac:dyDescent="0.25">
      <c r="A31" s="5">
        <v>4826</v>
      </c>
      <c r="B31" s="3" t="s">
        <v>113</v>
      </c>
      <c r="C31" s="3" t="s">
        <v>40</v>
      </c>
      <c r="D31" s="3" t="s">
        <v>114</v>
      </c>
      <c r="F31" s="3" t="s">
        <v>114</v>
      </c>
      <c r="G31" s="9">
        <v>5500</v>
      </c>
      <c r="H31" s="3" t="s">
        <v>21</v>
      </c>
      <c r="I31" s="4">
        <v>45291</v>
      </c>
      <c r="J31" t="s">
        <v>37</v>
      </c>
      <c r="K31" s="3" t="s">
        <v>23</v>
      </c>
      <c r="L31" s="3" t="s">
        <v>23</v>
      </c>
      <c r="P31" s="3" t="s">
        <v>24</v>
      </c>
      <c r="Q31" t="s">
        <v>115</v>
      </c>
    </row>
    <row r="32" spans="1:17" x14ac:dyDescent="0.25">
      <c r="A32" s="5">
        <v>4828</v>
      </c>
      <c r="B32" s="3" t="s">
        <v>76</v>
      </c>
      <c r="C32" s="3" t="s">
        <v>40</v>
      </c>
      <c r="D32" s="3" t="s">
        <v>77</v>
      </c>
      <c r="F32" s="3" t="s">
        <v>116</v>
      </c>
      <c r="G32" s="9">
        <v>3100</v>
      </c>
      <c r="H32" s="3" t="s">
        <v>21</v>
      </c>
      <c r="I32" s="4">
        <v>45294</v>
      </c>
      <c r="J32" t="s">
        <v>37</v>
      </c>
      <c r="K32" s="3" t="s">
        <v>23</v>
      </c>
      <c r="L32" s="3" t="s">
        <v>23</v>
      </c>
      <c r="M32" s="3" t="s">
        <v>24</v>
      </c>
      <c r="N32" s="3"/>
      <c r="O32" s="3"/>
      <c r="P32" s="3" t="s">
        <v>24</v>
      </c>
      <c r="Q32" t="s">
        <v>117</v>
      </c>
    </row>
    <row r="33" spans="1:17" x14ac:dyDescent="0.25">
      <c r="A33" s="5">
        <v>4829</v>
      </c>
      <c r="B33" s="3" t="s">
        <v>39</v>
      </c>
      <c r="C33" s="3" t="s">
        <v>40</v>
      </c>
      <c r="D33" s="3" t="s">
        <v>41</v>
      </c>
      <c r="F33" s="3" t="s">
        <v>118</v>
      </c>
      <c r="G33" s="9">
        <v>9435</v>
      </c>
      <c r="H33" s="3" t="s">
        <v>21</v>
      </c>
      <c r="I33" s="4">
        <v>45297</v>
      </c>
      <c r="J33" t="s">
        <v>22</v>
      </c>
      <c r="K33" s="3" t="s">
        <v>23</v>
      </c>
      <c r="L33" s="3" t="s">
        <v>23</v>
      </c>
      <c r="P33" s="3" t="s">
        <v>24</v>
      </c>
      <c r="Q33" t="s">
        <v>119</v>
      </c>
    </row>
    <row r="34" spans="1:17" x14ac:dyDescent="0.25">
      <c r="A34" s="5">
        <v>4830</v>
      </c>
      <c r="B34" s="3" t="s">
        <v>72</v>
      </c>
      <c r="C34" s="3" t="s">
        <v>40</v>
      </c>
      <c r="D34" s="3" t="s">
        <v>58</v>
      </c>
      <c r="F34" s="3" t="s">
        <v>120</v>
      </c>
      <c r="G34" s="9">
        <v>1020</v>
      </c>
      <c r="H34" s="3" t="s">
        <v>21</v>
      </c>
      <c r="I34" s="4">
        <v>45304</v>
      </c>
      <c r="J34" t="s">
        <v>37</v>
      </c>
      <c r="K34" s="3" t="s">
        <v>23</v>
      </c>
      <c r="L34" s="3" t="s">
        <v>23</v>
      </c>
      <c r="P34" s="3" t="s">
        <v>24</v>
      </c>
      <c r="Q34" t="s">
        <v>121</v>
      </c>
    </row>
    <row r="35" spans="1:17" x14ac:dyDescent="0.25">
      <c r="A35" s="5">
        <v>4839</v>
      </c>
      <c r="B35" s="3" t="s">
        <v>122</v>
      </c>
      <c r="C35" s="3" t="s">
        <v>40</v>
      </c>
      <c r="D35" s="3" t="s">
        <v>50</v>
      </c>
      <c r="F35" s="3" t="s">
        <v>123</v>
      </c>
      <c r="G35" s="9">
        <v>3126.96</v>
      </c>
      <c r="H35" s="3" t="s">
        <v>21</v>
      </c>
      <c r="I35" s="4">
        <v>45307</v>
      </c>
      <c r="J35" t="s">
        <v>37</v>
      </c>
      <c r="K35" s="3" t="s">
        <v>23</v>
      </c>
      <c r="L35" s="3" t="s">
        <v>23</v>
      </c>
      <c r="P35" s="3" t="s">
        <v>24</v>
      </c>
      <c r="Q35" t="s">
        <v>124</v>
      </c>
    </row>
    <row r="36" spans="1:17" x14ac:dyDescent="0.25">
      <c r="A36" s="5">
        <v>4840</v>
      </c>
      <c r="B36" s="3" t="s">
        <v>125</v>
      </c>
      <c r="C36" s="3" t="s">
        <v>40</v>
      </c>
      <c r="D36" s="3" t="s">
        <v>108</v>
      </c>
      <c r="F36" s="3" t="s">
        <v>126</v>
      </c>
      <c r="G36" s="9">
        <v>1919</v>
      </c>
      <c r="H36" s="3" t="s">
        <v>21</v>
      </c>
      <c r="I36" s="4">
        <v>45307</v>
      </c>
      <c r="J36" t="s">
        <v>37</v>
      </c>
      <c r="K36" s="3" t="s">
        <v>23</v>
      </c>
      <c r="L36" s="3" t="s">
        <v>23</v>
      </c>
      <c r="P36" s="3" t="s">
        <v>24</v>
      </c>
      <c r="Q36" t="s">
        <v>127</v>
      </c>
    </row>
    <row r="37" spans="1:17" x14ac:dyDescent="0.25">
      <c r="A37" s="5">
        <v>4841</v>
      </c>
      <c r="B37" s="3" t="s">
        <v>17</v>
      </c>
      <c r="C37" s="3" t="s">
        <v>40</v>
      </c>
      <c r="D37" s="3" t="s">
        <v>35</v>
      </c>
      <c r="F37" s="3" t="s">
        <v>128</v>
      </c>
      <c r="G37" s="9">
        <v>800</v>
      </c>
      <c r="H37" s="3" t="s">
        <v>21</v>
      </c>
      <c r="I37" s="4">
        <v>45312</v>
      </c>
      <c r="J37" t="s">
        <v>37</v>
      </c>
      <c r="K37" s="3" t="s">
        <v>23</v>
      </c>
      <c r="L37" s="3" t="s">
        <v>23</v>
      </c>
      <c r="P37" s="3" t="s">
        <v>24</v>
      </c>
      <c r="Q37" t="s">
        <v>129</v>
      </c>
    </row>
    <row r="38" spans="1:17" x14ac:dyDescent="0.25">
      <c r="A38" s="5">
        <v>4853</v>
      </c>
      <c r="B38" s="3" t="s">
        <v>17</v>
      </c>
      <c r="C38" s="3" t="s">
        <v>34</v>
      </c>
      <c r="D38" s="3" t="s">
        <v>35</v>
      </c>
      <c r="F38" s="3" t="s">
        <v>27</v>
      </c>
      <c r="G38" s="9">
        <v>1440</v>
      </c>
      <c r="H38" s="3" t="s">
        <v>21</v>
      </c>
      <c r="I38" s="4">
        <v>45312</v>
      </c>
      <c r="J38" t="s">
        <v>37</v>
      </c>
      <c r="K38" s="3" t="s">
        <v>23</v>
      </c>
      <c r="L38" s="3" t="s">
        <v>23</v>
      </c>
      <c r="P38" s="3" t="s">
        <v>24</v>
      </c>
      <c r="Q38" t="s">
        <v>130</v>
      </c>
    </row>
    <row r="39" spans="1:17" x14ac:dyDescent="0.25">
      <c r="A39" s="5">
        <v>4854</v>
      </c>
      <c r="B39" s="3" t="s">
        <v>76</v>
      </c>
      <c r="C39" s="3" t="s">
        <v>40</v>
      </c>
      <c r="D39" s="3" t="s">
        <v>108</v>
      </c>
      <c r="F39" s="3" t="s">
        <v>131</v>
      </c>
      <c r="G39" s="9">
        <v>2750</v>
      </c>
      <c r="H39" s="3" t="s">
        <v>21</v>
      </c>
      <c r="I39" s="4">
        <v>45313</v>
      </c>
      <c r="J39" t="s">
        <v>37</v>
      </c>
      <c r="K39" s="3" t="s">
        <v>23</v>
      </c>
      <c r="L39" s="3" t="s">
        <v>23</v>
      </c>
      <c r="M39" s="3" t="s">
        <v>24</v>
      </c>
      <c r="N39" s="3"/>
      <c r="O39" s="3"/>
      <c r="P39" s="3" t="s">
        <v>24</v>
      </c>
      <c r="Q39" t="s">
        <v>132</v>
      </c>
    </row>
    <row r="40" spans="1:17" x14ac:dyDescent="0.25">
      <c r="A40" s="5">
        <v>4855</v>
      </c>
      <c r="B40" s="3" t="s">
        <v>39</v>
      </c>
      <c r="C40" s="3" t="s">
        <v>18</v>
      </c>
      <c r="D40" s="3" t="s">
        <v>41</v>
      </c>
      <c r="F40" s="3" t="s">
        <v>42</v>
      </c>
      <c r="G40" s="9">
        <v>9875</v>
      </c>
      <c r="H40" s="3" t="s">
        <v>21</v>
      </c>
      <c r="I40" s="4">
        <v>45314</v>
      </c>
      <c r="J40" t="s">
        <v>22</v>
      </c>
      <c r="K40" s="3" t="s">
        <v>23</v>
      </c>
      <c r="L40" s="3" t="s">
        <v>23</v>
      </c>
      <c r="P40" s="3" t="s">
        <v>24</v>
      </c>
      <c r="Q40" t="s">
        <v>133</v>
      </c>
    </row>
    <row r="41" spans="1:17" x14ac:dyDescent="0.25">
      <c r="A41" s="5">
        <v>4858</v>
      </c>
      <c r="B41" s="3" t="s">
        <v>134</v>
      </c>
      <c r="C41" s="3" t="s">
        <v>40</v>
      </c>
      <c r="D41" s="3" t="s">
        <v>81</v>
      </c>
      <c r="F41" s="3" t="s">
        <v>135</v>
      </c>
      <c r="G41" s="9">
        <v>2800</v>
      </c>
      <c r="H41" s="3" t="s">
        <v>21</v>
      </c>
      <c r="I41" s="4">
        <v>45318</v>
      </c>
      <c r="J41" t="s">
        <v>37</v>
      </c>
      <c r="K41" s="3" t="s">
        <v>23</v>
      </c>
      <c r="L41" s="3" t="s">
        <v>23</v>
      </c>
      <c r="M41" s="3" t="s">
        <v>24</v>
      </c>
      <c r="N41" s="3"/>
      <c r="O41" s="3"/>
      <c r="P41" s="3" t="s">
        <v>24</v>
      </c>
      <c r="Q41" t="s">
        <v>136</v>
      </c>
    </row>
    <row r="42" spans="1:17" x14ac:dyDescent="0.25">
      <c r="A42" s="5">
        <v>4860</v>
      </c>
      <c r="B42" s="3" t="s">
        <v>137</v>
      </c>
      <c r="C42" s="3" t="s">
        <v>138</v>
      </c>
      <c r="D42" s="3" t="s">
        <v>108</v>
      </c>
      <c r="F42" s="3" t="s">
        <v>139</v>
      </c>
      <c r="G42" s="9">
        <v>4587</v>
      </c>
      <c r="H42" s="3" t="s">
        <v>21</v>
      </c>
      <c r="I42" s="4">
        <v>45322</v>
      </c>
      <c r="J42" t="s">
        <v>37</v>
      </c>
      <c r="K42" s="3" t="s">
        <v>23</v>
      </c>
      <c r="L42" s="3" t="s">
        <v>23</v>
      </c>
      <c r="M42" s="3" t="s">
        <v>24</v>
      </c>
      <c r="N42" s="3"/>
      <c r="O42" s="3"/>
      <c r="P42" s="3" t="s">
        <v>24</v>
      </c>
      <c r="Q42" t="s">
        <v>140</v>
      </c>
    </row>
    <row r="43" spans="1:17" x14ac:dyDescent="0.25">
      <c r="A43" s="5">
        <v>4863</v>
      </c>
      <c r="B43" s="3" t="s">
        <v>39</v>
      </c>
      <c r="C43" s="3" t="s">
        <v>18</v>
      </c>
      <c r="D43" s="3" t="s">
        <v>41</v>
      </c>
      <c r="F43" s="3" t="s">
        <v>141</v>
      </c>
      <c r="G43" s="9">
        <v>5600</v>
      </c>
      <c r="H43" s="3" t="s">
        <v>21</v>
      </c>
      <c r="I43" s="4">
        <v>45322</v>
      </c>
      <c r="J43" t="s">
        <v>22</v>
      </c>
      <c r="K43" s="3" t="s">
        <v>23</v>
      </c>
      <c r="L43" s="3" t="s">
        <v>23</v>
      </c>
      <c r="P43" s="3" t="s">
        <v>24</v>
      </c>
      <c r="Q43" t="s">
        <v>142</v>
      </c>
    </row>
    <row r="44" spans="1:17" x14ac:dyDescent="0.25">
      <c r="A44" s="5">
        <v>4864</v>
      </c>
      <c r="B44" s="3" t="s">
        <v>63</v>
      </c>
      <c r="C44" s="3" t="s">
        <v>40</v>
      </c>
      <c r="D44" s="3" t="s">
        <v>81</v>
      </c>
      <c r="F44" s="3" t="s">
        <v>82</v>
      </c>
      <c r="G44" s="9">
        <v>4940</v>
      </c>
      <c r="H44" s="3" t="s">
        <v>21</v>
      </c>
      <c r="I44" s="4">
        <v>45329</v>
      </c>
      <c r="J44" t="s">
        <v>22</v>
      </c>
      <c r="K44" s="3" t="s">
        <v>23</v>
      </c>
      <c r="L44" s="3" t="s">
        <v>23</v>
      </c>
      <c r="P44" s="3" t="s">
        <v>24</v>
      </c>
      <c r="Q44" t="s">
        <v>143</v>
      </c>
    </row>
    <row r="45" spans="1:17" x14ac:dyDescent="0.25">
      <c r="A45" s="5">
        <v>4865</v>
      </c>
      <c r="B45" s="3" t="s">
        <v>63</v>
      </c>
      <c r="C45" s="3" t="s">
        <v>40</v>
      </c>
      <c r="D45" s="3" t="s">
        <v>144</v>
      </c>
      <c r="F45" s="3" t="s">
        <v>145</v>
      </c>
      <c r="G45" s="9">
        <v>8900</v>
      </c>
      <c r="H45" s="3" t="s">
        <v>21</v>
      </c>
      <c r="I45" s="4">
        <v>45333</v>
      </c>
      <c r="J45" t="s">
        <v>22</v>
      </c>
      <c r="K45" s="3" t="s">
        <v>23</v>
      </c>
      <c r="L45" s="3" t="s">
        <v>23</v>
      </c>
      <c r="P45" s="3" t="s">
        <v>24</v>
      </c>
      <c r="Q45" t="s">
        <v>146</v>
      </c>
    </row>
    <row r="46" spans="1:17" x14ac:dyDescent="0.25">
      <c r="A46" s="5">
        <v>4883</v>
      </c>
      <c r="B46" s="3" t="s">
        <v>39</v>
      </c>
      <c r="C46" s="3" t="s">
        <v>40</v>
      </c>
      <c r="D46" s="3" t="s">
        <v>41</v>
      </c>
      <c r="F46" s="3" t="s">
        <v>147</v>
      </c>
      <c r="G46" s="9">
        <v>1160</v>
      </c>
      <c r="H46" s="3" t="s">
        <v>21</v>
      </c>
      <c r="I46" s="4">
        <v>45342</v>
      </c>
      <c r="J46" t="s">
        <v>22</v>
      </c>
      <c r="K46" s="3" t="s">
        <v>23</v>
      </c>
      <c r="L46" s="3" t="s">
        <v>23</v>
      </c>
      <c r="P46" s="3" t="s">
        <v>24</v>
      </c>
      <c r="Q46" t="s">
        <v>148</v>
      </c>
    </row>
    <row r="47" spans="1:17" x14ac:dyDescent="0.25">
      <c r="A47" s="5">
        <v>4884</v>
      </c>
      <c r="B47" s="3" t="s">
        <v>63</v>
      </c>
      <c r="C47" s="3" t="s">
        <v>40</v>
      </c>
      <c r="D47" s="3" t="s">
        <v>144</v>
      </c>
      <c r="F47" s="3" t="s">
        <v>149</v>
      </c>
      <c r="G47" s="9">
        <v>6250</v>
      </c>
      <c r="H47" s="3" t="s">
        <v>21</v>
      </c>
      <c r="I47" s="4">
        <v>45347</v>
      </c>
      <c r="J47" t="s">
        <v>22</v>
      </c>
      <c r="K47" s="3" t="s">
        <v>23</v>
      </c>
      <c r="L47" s="3" t="s">
        <v>23</v>
      </c>
      <c r="P47" s="3" t="s">
        <v>24</v>
      </c>
      <c r="Q47" t="s">
        <v>150</v>
      </c>
    </row>
    <row r="48" spans="1:17" x14ac:dyDescent="0.25">
      <c r="A48" s="5">
        <v>4885</v>
      </c>
      <c r="B48" s="3" t="s">
        <v>63</v>
      </c>
      <c r="C48" s="3" t="s">
        <v>40</v>
      </c>
      <c r="D48" s="3" t="s">
        <v>144</v>
      </c>
      <c r="F48" s="3" t="s">
        <v>151</v>
      </c>
      <c r="G48" s="9">
        <v>11500</v>
      </c>
      <c r="H48" s="3" t="s">
        <v>21</v>
      </c>
      <c r="I48" s="4">
        <v>45353</v>
      </c>
      <c r="J48" t="s">
        <v>22</v>
      </c>
      <c r="K48" s="3" t="s">
        <v>23</v>
      </c>
      <c r="L48" s="3" t="s">
        <v>23</v>
      </c>
      <c r="P48" s="3" t="s">
        <v>24</v>
      </c>
      <c r="Q48" t="s">
        <v>152</v>
      </c>
    </row>
    <row r="49" spans="1:17" x14ac:dyDescent="0.25">
      <c r="A49" s="5">
        <v>4909</v>
      </c>
      <c r="B49" s="3" t="s">
        <v>107</v>
      </c>
      <c r="C49" s="3" t="s">
        <v>29</v>
      </c>
      <c r="D49" s="3" t="s">
        <v>108</v>
      </c>
      <c r="F49" s="3" t="s">
        <v>153</v>
      </c>
      <c r="G49" s="9">
        <v>8030</v>
      </c>
      <c r="H49" s="3" t="s">
        <v>21</v>
      </c>
      <c r="I49" s="4">
        <v>45361</v>
      </c>
      <c r="J49" t="s">
        <v>37</v>
      </c>
      <c r="K49" s="3" t="s">
        <v>23</v>
      </c>
      <c r="L49" s="3" t="s">
        <v>23</v>
      </c>
      <c r="M49" s="3" t="s">
        <v>24</v>
      </c>
      <c r="N49" s="3"/>
      <c r="O49" s="3"/>
      <c r="P49" s="3" t="s">
        <v>24</v>
      </c>
      <c r="Q49" t="s">
        <v>154</v>
      </c>
    </row>
    <row r="50" spans="1:17" x14ac:dyDescent="0.25">
      <c r="A50" s="5">
        <v>4910</v>
      </c>
      <c r="B50" s="3" t="s">
        <v>155</v>
      </c>
      <c r="C50" s="3" t="s">
        <v>40</v>
      </c>
      <c r="D50" s="3" t="s">
        <v>156</v>
      </c>
      <c r="F50" s="3" t="s">
        <v>157</v>
      </c>
      <c r="G50" s="9">
        <v>2500</v>
      </c>
      <c r="H50" s="3" t="s">
        <v>21</v>
      </c>
      <c r="I50" s="4">
        <v>45361</v>
      </c>
      <c r="J50" t="s">
        <v>22</v>
      </c>
      <c r="K50" s="3" t="s">
        <v>23</v>
      </c>
      <c r="L50" s="3" t="s">
        <v>23</v>
      </c>
      <c r="P50" s="3" t="s">
        <v>24</v>
      </c>
      <c r="Q50" t="s">
        <v>158</v>
      </c>
    </row>
    <row r="51" spans="1:17" x14ac:dyDescent="0.25">
      <c r="A51" s="5">
        <v>4911</v>
      </c>
      <c r="B51" s="3" t="s">
        <v>159</v>
      </c>
      <c r="C51" s="3" t="s">
        <v>40</v>
      </c>
      <c r="D51" s="3" t="s">
        <v>160</v>
      </c>
      <c r="F51" s="3" t="s">
        <v>161</v>
      </c>
      <c r="G51" s="9">
        <v>9200</v>
      </c>
      <c r="H51" s="3" t="s">
        <v>21</v>
      </c>
      <c r="I51" s="4">
        <v>45365</v>
      </c>
      <c r="J51" t="s">
        <v>70</v>
      </c>
      <c r="K51" s="3" t="s">
        <v>23</v>
      </c>
      <c r="L51" s="3" t="s">
        <v>23</v>
      </c>
      <c r="P51" s="3" t="s">
        <v>24</v>
      </c>
      <c r="Q51" t="s">
        <v>162</v>
      </c>
    </row>
    <row r="52" spans="1:17" x14ac:dyDescent="0.25">
      <c r="A52" s="5">
        <v>4912</v>
      </c>
      <c r="B52" s="3" t="s">
        <v>17</v>
      </c>
      <c r="C52" s="3" t="s">
        <v>163</v>
      </c>
      <c r="D52" s="3" t="s">
        <v>19</v>
      </c>
      <c r="F52" s="3" t="s">
        <v>164</v>
      </c>
      <c r="G52" s="9">
        <v>568</v>
      </c>
      <c r="H52" s="3" t="s">
        <v>21</v>
      </c>
      <c r="I52" s="4">
        <v>44999</v>
      </c>
      <c r="J52" t="s">
        <v>22</v>
      </c>
      <c r="K52" s="3" t="s">
        <v>23</v>
      </c>
      <c r="L52" s="3" t="s">
        <v>23</v>
      </c>
      <c r="P52" s="3" t="s">
        <v>24</v>
      </c>
      <c r="Q52" t="s">
        <v>165</v>
      </c>
    </row>
    <row r="53" spans="1:17" x14ac:dyDescent="0.25">
      <c r="A53" s="5">
        <v>4928</v>
      </c>
      <c r="B53" s="3" t="s">
        <v>166</v>
      </c>
      <c r="C53" s="3" t="s">
        <v>40</v>
      </c>
      <c r="D53" s="3" t="s">
        <v>50</v>
      </c>
      <c r="F53" s="3" t="s">
        <v>167</v>
      </c>
      <c r="G53" s="9">
        <v>2200</v>
      </c>
      <c r="H53" s="3" t="s">
        <v>21</v>
      </c>
      <c r="I53" s="4">
        <v>45003</v>
      </c>
      <c r="J53" t="s">
        <v>37</v>
      </c>
      <c r="K53" s="3" t="s">
        <v>23</v>
      </c>
      <c r="L53" s="3" t="s">
        <v>23</v>
      </c>
      <c r="P53" s="3" t="s">
        <v>24</v>
      </c>
      <c r="Q53" t="s">
        <v>168</v>
      </c>
    </row>
    <row r="54" spans="1:17" x14ac:dyDescent="0.25">
      <c r="A54" s="5">
        <v>4930</v>
      </c>
      <c r="B54" s="3" t="s">
        <v>169</v>
      </c>
      <c r="C54" s="3" t="s">
        <v>18</v>
      </c>
      <c r="D54" s="3" t="s">
        <v>50</v>
      </c>
      <c r="F54" s="3" t="s">
        <v>170</v>
      </c>
      <c r="G54" s="9">
        <v>3140</v>
      </c>
      <c r="H54" s="3" t="s">
        <v>21</v>
      </c>
      <c r="I54" s="4">
        <v>45371</v>
      </c>
      <c r="J54" t="s">
        <v>22</v>
      </c>
      <c r="K54" s="3" t="s">
        <v>23</v>
      </c>
      <c r="L54" s="3" t="s">
        <v>23</v>
      </c>
      <c r="P54" s="3" t="s">
        <v>24</v>
      </c>
      <c r="Q54" t="s">
        <v>171</v>
      </c>
    </row>
    <row r="55" spans="1:17" x14ac:dyDescent="0.25">
      <c r="A55" s="11">
        <v>4936</v>
      </c>
      <c r="B55" s="3" t="s">
        <v>39</v>
      </c>
      <c r="C55" s="3" t="s">
        <v>172</v>
      </c>
      <c r="D55" s="3" t="s">
        <v>41</v>
      </c>
      <c r="F55" s="3" t="s">
        <v>173</v>
      </c>
      <c r="G55" s="9">
        <v>430</v>
      </c>
      <c r="H55" s="3" t="s">
        <v>21</v>
      </c>
      <c r="I55" s="4">
        <v>45378</v>
      </c>
      <c r="J55" t="s">
        <v>22</v>
      </c>
      <c r="K55" s="3" t="s">
        <v>23</v>
      </c>
      <c r="L55" s="3" t="s">
        <v>23</v>
      </c>
      <c r="P55" s="3" t="s">
        <v>24</v>
      </c>
      <c r="Q55" t="s">
        <v>174</v>
      </c>
    </row>
    <row r="56" spans="1:17" x14ac:dyDescent="0.25">
      <c r="A56" s="11">
        <v>4937</v>
      </c>
      <c r="B56" s="3" t="s">
        <v>169</v>
      </c>
      <c r="C56" s="3" t="s">
        <v>29</v>
      </c>
      <c r="D56" s="3" t="s">
        <v>50</v>
      </c>
      <c r="F56" s="3" t="s">
        <v>175</v>
      </c>
      <c r="G56" s="9">
        <v>2780</v>
      </c>
      <c r="H56" s="3" t="s">
        <v>21</v>
      </c>
      <c r="I56" s="4">
        <v>45378</v>
      </c>
      <c r="J56" t="s">
        <v>22</v>
      </c>
      <c r="K56" s="3" t="s">
        <v>23</v>
      </c>
      <c r="L56" s="3" t="s">
        <v>23</v>
      </c>
      <c r="P56" s="3" t="s">
        <v>24</v>
      </c>
      <c r="Q56" t="s">
        <v>176</v>
      </c>
    </row>
    <row r="57" spans="1:17" x14ac:dyDescent="0.25">
      <c r="A57" s="11">
        <v>4938</v>
      </c>
      <c r="B57" s="3" t="s">
        <v>177</v>
      </c>
      <c r="C57" s="3" t="s">
        <v>29</v>
      </c>
      <c r="D57" s="3" t="s">
        <v>58</v>
      </c>
      <c r="F57" s="3" t="s">
        <v>178</v>
      </c>
      <c r="G57" s="12">
        <v>2216</v>
      </c>
      <c r="H57" s="3" t="s">
        <v>21</v>
      </c>
      <c r="I57" s="4">
        <v>45378</v>
      </c>
      <c r="J57" t="s">
        <v>37</v>
      </c>
      <c r="K57" s="3" t="s">
        <v>23</v>
      </c>
      <c r="L57" s="3" t="s">
        <v>23</v>
      </c>
      <c r="P57" s="3" t="s">
        <v>24</v>
      </c>
      <c r="Q57" t="s">
        <v>179</v>
      </c>
    </row>
    <row r="58" spans="1:17" x14ac:dyDescent="0.25">
      <c r="A58" s="5">
        <v>4941</v>
      </c>
      <c r="B58" s="3" t="s">
        <v>169</v>
      </c>
      <c r="C58" s="3" t="s">
        <v>172</v>
      </c>
      <c r="D58" s="3" t="s">
        <v>50</v>
      </c>
      <c r="F58" s="3" t="s">
        <v>167</v>
      </c>
      <c r="G58" s="9">
        <v>650</v>
      </c>
      <c r="H58" s="3" t="s">
        <v>21</v>
      </c>
      <c r="I58" s="4">
        <v>45379</v>
      </c>
      <c r="J58" t="s">
        <v>22</v>
      </c>
      <c r="K58" s="3" t="s">
        <v>23</v>
      </c>
      <c r="L58" s="3" t="s">
        <v>23</v>
      </c>
      <c r="P58" s="3" t="s">
        <v>24</v>
      </c>
      <c r="Q58" t="s">
        <v>180</v>
      </c>
    </row>
    <row r="59" spans="1:17" x14ac:dyDescent="0.25">
      <c r="A59" s="5">
        <v>4942</v>
      </c>
      <c r="B59" s="3" t="s">
        <v>134</v>
      </c>
      <c r="C59" s="3" t="s">
        <v>172</v>
      </c>
      <c r="D59" s="3" t="s">
        <v>81</v>
      </c>
      <c r="F59" s="3" t="s">
        <v>135</v>
      </c>
      <c r="G59" s="9">
        <v>600</v>
      </c>
      <c r="H59" s="3" t="s">
        <v>21</v>
      </c>
      <c r="I59" s="4">
        <v>45379</v>
      </c>
      <c r="J59" t="s">
        <v>22</v>
      </c>
      <c r="K59" s="3" t="s">
        <v>23</v>
      </c>
      <c r="L59" s="3" t="s">
        <v>23</v>
      </c>
      <c r="P59" s="3" t="s">
        <v>24</v>
      </c>
      <c r="Q59" t="s">
        <v>181</v>
      </c>
    </row>
    <row r="60" spans="1:17" x14ac:dyDescent="0.25">
      <c r="A60" s="5">
        <v>4943</v>
      </c>
      <c r="B60" s="3" t="s">
        <v>169</v>
      </c>
      <c r="C60" s="3" t="s">
        <v>31</v>
      </c>
      <c r="D60" s="3" t="s">
        <v>50</v>
      </c>
      <c r="F60" s="3" t="s">
        <v>182</v>
      </c>
      <c r="G60" s="9">
        <v>1050</v>
      </c>
      <c r="H60" s="3" t="s">
        <v>21</v>
      </c>
      <c r="I60" s="4">
        <v>45383</v>
      </c>
      <c r="J60" t="s">
        <v>22</v>
      </c>
      <c r="K60" s="3" t="s">
        <v>23</v>
      </c>
      <c r="L60" s="3" t="s">
        <v>23</v>
      </c>
      <c r="P60" s="3" t="s">
        <v>24</v>
      </c>
      <c r="Q60" t="s">
        <v>183</v>
      </c>
    </row>
    <row r="61" spans="1:17" x14ac:dyDescent="0.25">
      <c r="A61" s="5">
        <v>4954</v>
      </c>
      <c r="B61" s="3" t="s">
        <v>169</v>
      </c>
      <c r="C61" s="3" t="s">
        <v>184</v>
      </c>
      <c r="D61" s="3" t="s">
        <v>50</v>
      </c>
      <c r="F61" s="3" t="s">
        <v>185</v>
      </c>
      <c r="G61" s="9">
        <v>870</v>
      </c>
      <c r="H61" s="3" t="s">
        <v>21</v>
      </c>
      <c r="I61" s="4">
        <v>45383</v>
      </c>
      <c r="J61" t="s">
        <v>22</v>
      </c>
      <c r="K61" s="3" t="s">
        <v>23</v>
      </c>
      <c r="L61" s="3" t="s">
        <v>23</v>
      </c>
      <c r="P61" s="3" t="s">
        <v>24</v>
      </c>
      <c r="Q61" t="s">
        <v>186</v>
      </c>
    </row>
    <row r="62" spans="1:17" x14ac:dyDescent="0.25">
      <c r="A62" s="5">
        <v>4955</v>
      </c>
      <c r="B62" s="3" t="s">
        <v>169</v>
      </c>
      <c r="C62" s="3" t="s">
        <v>187</v>
      </c>
      <c r="D62" s="3" t="s">
        <v>50</v>
      </c>
      <c r="F62" s="3" t="s">
        <v>188</v>
      </c>
      <c r="G62" s="9">
        <v>555</v>
      </c>
      <c r="H62" s="3" t="s">
        <v>21</v>
      </c>
      <c r="I62" s="4">
        <v>45390</v>
      </c>
      <c r="J62" t="s">
        <v>22</v>
      </c>
      <c r="K62" s="3" t="s">
        <v>23</v>
      </c>
      <c r="L62" s="3" t="s">
        <v>23</v>
      </c>
      <c r="P62" s="3" t="s">
        <v>24</v>
      </c>
      <c r="Q62" t="s">
        <v>189</v>
      </c>
    </row>
    <row r="63" spans="1:17" x14ac:dyDescent="0.25">
      <c r="A63" s="5">
        <v>4956</v>
      </c>
      <c r="B63" s="3" t="s">
        <v>190</v>
      </c>
      <c r="C63" s="3" t="s">
        <v>29</v>
      </c>
      <c r="D63" s="3" t="s">
        <v>58</v>
      </c>
      <c r="F63" s="3" t="s">
        <v>191</v>
      </c>
      <c r="G63" s="10">
        <v>2930</v>
      </c>
      <c r="H63" s="3" t="s">
        <v>21</v>
      </c>
      <c r="I63" s="4">
        <v>45397</v>
      </c>
      <c r="J63" t="s">
        <v>22</v>
      </c>
      <c r="K63" s="3" t="s">
        <v>23</v>
      </c>
      <c r="L63" s="3" t="s">
        <v>23</v>
      </c>
      <c r="P63" s="3" t="s">
        <v>24</v>
      </c>
      <c r="Q63" t="s">
        <v>192</v>
      </c>
    </row>
    <row r="64" spans="1:17" x14ac:dyDescent="0.25">
      <c r="A64" s="5">
        <v>4963</v>
      </c>
      <c r="B64" s="3" t="s">
        <v>190</v>
      </c>
      <c r="C64" s="3" t="s">
        <v>172</v>
      </c>
      <c r="D64" s="3" t="s">
        <v>58</v>
      </c>
      <c r="F64" s="3" t="s">
        <v>193</v>
      </c>
      <c r="G64" s="9">
        <v>2250</v>
      </c>
      <c r="H64" s="3" t="s">
        <v>21</v>
      </c>
      <c r="I64" s="4">
        <v>45397</v>
      </c>
      <c r="J64" t="s">
        <v>22</v>
      </c>
      <c r="K64" s="3" t="s">
        <v>23</v>
      </c>
      <c r="L64" s="3" t="s">
        <v>23</v>
      </c>
      <c r="P64" s="3" t="s">
        <v>24</v>
      </c>
      <c r="Q64" t="s">
        <v>194</v>
      </c>
    </row>
    <row r="65" spans="1:17" x14ac:dyDescent="0.25">
      <c r="A65" s="5">
        <v>4964</v>
      </c>
      <c r="B65" s="3" t="s">
        <v>190</v>
      </c>
      <c r="C65" s="3" t="s">
        <v>184</v>
      </c>
      <c r="D65" s="3" t="s">
        <v>58</v>
      </c>
      <c r="F65" s="3" t="s">
        <v>195</v>
      </c>
      <c r="G65" s="10">
        <v>6800</v>
      </c>
      <c r="H65" s="3" t="s">
        <v>21</v>
      </c>
      <c r="I65" s="4">
        <v>45414</v>
      </c>
      <c r="J65" t="s">
        <v>22</v>
      </c>
      <c r="K65" s="3" t="s">
        <v>23</v>
      </c>
      <c r="L65" s="3" t="s">
        <v>23</v>
      </c>
      <c r="P65" s="3" t="s">
        <v>24</v>
      </c>
      <c r="Q65" t="s">
        <v>196</v>
      </c>
    </row>
    <row r="66" spans="1:17" x14ac:dyDescent="0.25">
      <c r="A66" s="5">
        <v>4965</v>
      </c>
      <c r="B66" s="3" t="s">
        <v>190</v>
      </c>
      <c r="C66" s="3" t="s">
        <v>197</v>
      </c>
      <c r="D66" s="3" t="s">
        <v>58</v>
      </c>
      <c r="F66" s="3" t="s">
        <v>195</v>
      </c>
      <c r="G66" s="10">
        <v>8600</v>
      </c>
      <c r="H66" s="3" t="s">
        <v>21</v>
      </c>
      <c r="I66" s="4">
        <v>45415</v>
      </c>
      <c r="J66" t="s">
        <v>22</v>
      </c>
      <c r="K66" s="3" t="s">
        <v>23</v>
      </c>
      <c r="L66" s="3" t="s">
        <v>23</v>
      </c>
      <c r="P66" s="3" t="s">
        <v>24</v>
      </c>
      <c r="Q66" t="s">
        <v>198</v>
      </c>
    </row>
    <row r="67" spans="1:17" x14ac:dyDescent="0.25">
      <c r="A67" s="5">
        <v>4996</v>
      </c>
      <c r="B67" s="3" t="s">
        <v>190</v>
      </c>
      <c r="C67" s="3" t="s">
        <v>34</v>
      </c>
      <c r="D67" s="3" t="s">
        <v>58</v>
      </c>
      <c r="F67" s="3" t="s">
        <v>199</v>
      </c>
      <c r="G67" s="9">
        <v>800</v>
      </c>
      <c r="H67" s="3" t="s">
        <v>21</v>
      </c>
      <c r="I67" s="4">
        <v>45415</v>
      </c>
      <c r="J67" t="s">
        <v>22</v>
      </c>
      <c r="K67" s="3" t="s">
        <v>23</v>
      </c>
      <c r="L67" s="3" t="s">
        <v>23</v>
      </c>
      <c r="P67" s="3" t="s">
        <v>24</v>
      </c>
      <c r="Q67" t="s">
        <v>200</v>
      </c>
    </row>
    <row r="68" spans="1:17" x14ac:dyDescent="0.25">
      <c r="A68" s="5">
        <v>4997</v>
      </c>
      <c r="B68" s="3" t="s">
        <v>190</v>
      </c>
      <c r="C68" s="3" t="s">
        <v>29</v>
      </c>
      <c r="D68" s="3" t="s">
        <v>58</v>
      </c>
      <c r="F68" s="3" t="s">
        <v>201</v>
      </c>
      <c r="G68" s="9">
        <v>375</v>
      </c>
      <c r="H68" s="3" t="s">
        <v>21</v>
      </c>
      <c r="I68" s="4">
        <v>45415</v>
      </c>
      <c r="J68" t="s">
        <v>22</v>
      </c>
      <c r="K68" s="3" t="s">
        <v>23</v>
      </c>
      <c r="L68" s="3" t="s">
        <v>23</v>
      </c>
      <c r="P68" s="3" t="s">
        <v>24</v>
      </c>
      <c r="Q68" t="s">
        <v>202</v>
      </c>
    </row>
    <row r="69" spans="1:17" x14ac:dyDescent="0.25">
      <c r="A69" s="5">
        <v>4998</v>
      </c>
      <c r="B69" s="3" t="s">
        <v>190</v>
      </c>
      <c r="C69" s="3" t="s">
        <v>18</v>
      </c>
      <c r="D69" s="3" t="s">
        <v>58</v>
      </c>
      <c r="F69" s="3" t="s">
        <v>203</v>
      </c>
      <c r="G69" s="9">
        <v>375</v>
      </c>
      <c r="H69" s="3" t="s">
        <v>21</v>
      </c>
      <c r="I69" s="4">
        <v>45415</v>
      </c>
      <c r="J69" t="s">
        <v>22</v>
      </c>
      <c r="K69" s="3" t="s">
        <v>23</v>
      </c>
      <c r="L69" s="3" t="s">
        <v>23</v>
      </c>
      <c r="P69" s="3" t="s">
        <v>24</v>
      </c>
      <c r="Q69" t="s">
        <v>204</v>
      </c>
    </row>
    <row r="70" spans="1:17" x14ac:dyDescent="0.25">
      <c r="A70" s="5">
        <v>4999</v>
      </c>
      <c r="B70" s="3" t="s">
        <v>190</v>
      </c>
      <c r="C70" s="3" t="s">
        <v>34</v>
      </c>
      <c r="D70" s="3" t="s">
        <v>58</v>
      </c>
      <c r="F70" s="3" t="s">
        <v>205</v>
      </c>
      <c r="G70" s="9">
        <v>375</v>
      </c>
      <c r="H70" s="3" t="s">
        <v>21</v>
      </c>
      <c r="I70" s="4">
        <v>45415</v>
      </c>
      <c r="J70" t="s">
        <v>22</v>
      </c>
      <c r="K70" s="3" t="s">
        <v>23</v>
      </c>
      <c r="L70" s="3" t="s">
        <v>23</v>
      </c>
      <c r="P70" s="3" t="s">
        <v>24</v>
      </c>
      <c r="Q70" t="s">
        <v>206</v>
      </c>
    </row>
    <row r="71" spans="1:17" x14ac:dyDescent="0.25">
      <c r="A71" s="5">
        <v>5000</v>
      </c>
      <c r="B71" s="3" t="s">
        <v>190</v>
      </c>
      <c r="C71" s="3" t="s">
        <v>29</v>
      </c>
      <c r="D71" s="3" t="s">
        <v>58</v>
      </c>
      <c r="F71" s="3" t="s">
        <v>207</v>
      </c>
      <c r="G71" s="9">
        <v>880</v>
      </c>
      <c r="H71" s="3" t="s">
        <v>21</v>
      </c>
      <c r="I71" s="4">
        <v>45415</v>
      </c>
      <c r="J71" t="s">
        <v>22</v>
      </c>
      <c r="K71" s="3" t="s">
        <v>23</v>
      </c>
      <c r="L71" s="3" t="s">
        <v>23</v>
      </c>
      <c r="P71" s="3" t="s">
        <v>24</v>
      </c>
      <c r="Q71" t="s">
        <v>208</v>
      </c>
    </row>
    <row r="72" spans="1:17" x14ac:dyDescent="0.25">
      <c r="A72" s="5">
        <v>5001</v>
      </c>
      <c r="B72" s="3" t="s">
        <v>190</v>
      </c>
      <c r="C72" s="3" t="s">
        <v>34</v>
      </c>
      <c r="D72" s="3" t="s">
        <v>58</v>
      </c>
      <c r="F72" s="3" t="s">
        <v>209</v>
      </c>
      <c r="G72" s="9">
        <v>550</v>
      </c>
      <c r="H72" s="3" t="s">
        <v>21</v>
      </c>
      <c r="I72" s="4">
        <v>45415</v>
      </c>
      <c r="J72" t="s">
        <v>22</v>
      </c>
      <c r="K72" s="3" t="s">
        <v>23</v>
      </c>
      <c r="L72" s="3" t="s">
        <v>23</v>
      </c>
      <c r="P72" s="3" t="s">
        <v>24</v>
      </c>
      <c r="Q72" t="s">
        <v>210</v>
      </c>
    </row>
    <row r="73" spans="1:17" x14ac:dyDescent="0.25">
      <c r="A73" s="5">
        <v>5002</v>
      </c>
      <c r="B73" s="3" t="s">
        <v>177</v>
      </c>
      <c r="C73" s="3" t="s">
        <v>211</v>
      </c>
      <c r="D73" s="3" t="s">
        <v>58</v>
      </c>
      <c r="F73" s="3" t="s">
        <v>212</v>
      </c>
      <c r="G73" s="9" t="s">
        <v>213</v>
      </c>
      <c r="H73" s="3" t="s">
        <v>21</v>
      </c>
      <c r="I73" s="4">
        <v>45420</v>
      </c>
      <c r="J73" t="s">
        <v>37</v>
      </c>
      <c r="K73" s="3" t="s">
        <v>23</v>
      </c>
      <c r="L73" s="3" t="s">
        <v>23</v>
      </c>
      <c r="P73" s="3" t="s">
        <v>24</v>
      </c>
      <c r="Q73" t="s">
        <v>214</v>
      </c>
    </row>
    <row r="74" spans="1:17" x14ac:dyDescent="0.25">
      <c r="A74" s="5">
        <v>5003</v>
      </c>
      <c r="B74" s="3" t="s">
        <v>190</v>
      </c>
      <c r="C74" s="3" t="s">
        <v>184</v>
      </c>
      <c r="D74" s="3" t="s">
        <v>58</v>
      </c>
      <c r="F74" s="3" t="s">
        <v>215</v>
      </c>
      <c r="G74" s="9">
        <v>475</v>
      </c>
      <c r="H74" s="3" t="s">
        <v>21</v>
      </c>
      <c r="I74" s="4">
        <v>45439</v>
      </c>
      <c r="J74" t="s">
        <v>22</v>
      </c>
      <c r="K74" s="3" t="s">
        <v>23</v>
      </c>
      <c r="L74" s="3" t="s">
        <v>23</v>
      </c>
      <c r="P74" s="3" t="s">
        <v>24</v>
      </c>
      <c r="Q74" t="s">
        <v>216</v>
      </c>
    </row>
    <row r="75" spans="1:17" x14ac:dyDescent="0.25">
      <c r="A75" s="5">
        <v>5004</v>
      </c>
      <c r="B75" s="3" t="s">
        <v>190</v>
      </c>
      <c r="C75" s="3" t="s">
        <v>29</v>
      </c>
      <c r="D75" s="3" t="s">
        <v>58</v>
      </c>
      <c r="F75" s="3" t="s">
        <v>217</v>
      </c>
      <c r="G75" s="9">
        <v>475</v>
      </c>
      <c r="H75" s="3" t="s">
        <v>21</v>
      </c>
      <c r="I75" s="4">
        <v>45439</v>
      </c>
      <c r="J75" t="s">
        <v>22</v>
      </c>
      <c r="K75" s="3" t="s">
        <v>23</v>
      </c>
      <c r="L75" s="3" t="s">
        <v>23</v>
      </c>
      <c r="P75" s="3" t="s">
        <v>24</v>
      </c>
      <c r="Q75" t="s">
        <v>218</v>
      </c>
    </row>
    <row r="76" spans="1:17" x14ac:dyDescent="0.25">
      <c r="A76" s="5">
        <v>5005</v>
      </c>
      <c r="B76" s="3" t="s">
        <v>190</v>
      </c>
      <c r="C76" s="3" t="s">
        <v>18</v>
      </c>
      <c r="D76" s="3" t="s">
        <v>58</v>
      </c>
      <c r="F76" s="3" t="s">
        <v>219</v>
      </c>
      <c r="G76" s="9">
        <v>375</v>
      </c>
      <c r="H76" s="3" t="s">
        <v>21</v>
      </c>
      <c r="I76" s="4">
        <v>45439</v>
      </c>
      <c r="J76" t="s">
        <v>22</v>
      </c>
      <c r="K76" s="3" t="s">
        <v>23</v>
      </c>
      <c r="L76" s="3" t="s">
        <v>23</v>
      </c>
      <c r="P76" s="3" t="s">
        <v>24</v>
      </c>
      <c r="Q76" t="s">
        <v>220</v>
      </c>
    </row>
    <row r="77" spans="1:17" x14ac:dyDescent="0.25">
      <c r="A77" s="5">
        <v>5028</v>
      </c>
      <c r="B77" s="3" t="s">
        <v>190</v>
      </c>
      <c r="C77" s="3" t="s">
        <v>184</v>
      </c>
      <c r="D77" s="3" t="s">
        <v>58</v>
      </c>
      <c r="F77" s="3" t="s">
        <v>221</v>
      </c>
      <c r="G77" s="9">
        <v>375</v>
      </c>
      <c r="H77" s="3" t="s">
        <v>21</v>
      </c>
      <c r="I77" s="4">
        <v>45439</v>
      </c>
      <c r="J77" t="s">
        <v>22</v>
      </c>
      <c r="K77" s="3" t="s">
        <v>23</v>
      </c>
      <c r="L77" s="3" t="s">
        <v>23</v>
      </c>
      <c r="P77" s="3" t="s">
        <v>24</v>
      </c>
      <c r="Q77" t="s">
        <v>222</v>
      </c>
    </row>
    <row r="78" spans="1:17" x14ac:dyDescent="0.25">
      <c r="A78" s="5">
        <v>5029</v>
      </c>
      <c r="B78" s="3" t="s">
        <v>190</v>
      </c>
      <c r="C78" s="3" t="s">
        <v>29</v>
      </c>
      <c r="D78" s="3" t="s">
        <v>58</v>
      </c>
      <c r="F78" s="3" t="s">
        <v>223</v>
      </c>
      <c r="G78" s="9">
        <v>375</v>
      </c>
      <c r="H78" s="3" t="s">
        <v>21</v>
      </c>
      <c r="I78" s="4">
        <v>45439</v>
      </c>
      <c r="J78" t="s">
        <v>22</v>
      </c>
      <c r="K78" s="3" t="s">
        <v>23</v>
      </c>
      <c r="L78" s="3" t="s">
        <v>23</v>
      </c>
      <c r="P78" s="3" t="s">
        <v>24</v>
      </c>
      <c r="Q78" t="s">
        <v>224</v>
      </c>
    </row>
    <row r="79" spans="1:17" x14ac:dyDescent="0.25">
      <c r="A79" s="5">
        <v>5030</v>
      </c>
      <c r="B79" s="3" t="s">
        <v>190</v>
      </c>
      <c r="C79" s="3" t="s">
        <v>29</v>
      </c>
      <c r="D79" s="3" t="s">
        <v>58</v>
      </c>
      <c r="F79" s="3" t="s">
        <v>225</v>
      </c>
      <c r="G79" s="9">
        <v>700</v>
      </c>
      <c r="H79" s="3" t="s">
        <v>21</v>
      </c>
      <c r="I79" s="4">
        <v>45439</v>
      </c>
      <c r="J79" t="s">
        <v>22</v>
      </c>
      <c r="K79" s="3" t="s">
        <v>23</v>
      </c>
      <c r="L79" s="3" t="s">
        <v>23</v>
      </c>
      <c r="P79" s="3" t="s">
        <v>24</v>
      </c>
      <c r="Q79" t="s">
        <v>226</v>
      </c>
    </row>
    <row r="80" spans="1:17" x14ac:dyDescent="0.25">
      <c r="A80" s="5">
        <v>5031</v>
      </c>
      <c r="B80" s="3" t="s">
        <v>190</v>
      </c>
      <c r="C80" s="3" t="s">
        <v>29</v>
      </c>
      <c r="D80" s="3" t="s">
        <v>58</v>
      </c>
      <c r="F80" s="3" t="s">
        <v>227</v>
      </c>
      <c r="G80" s="9">
        <v>600</v>
      </c>
      <c r="H80" s="3" t="s">
        <v>21</v>
      </c>
      <c r="I80" s="4">
        <v>45439</v>
      </c>
      <c r="J80" t="s">
        <v>22</v>
      </c>
      <c r="K80" s="3" t="s">
        <v>23</v>
      </c>
      <c r="L80" s="3" t="s">
        <v>23</v>
      </c>
      <c r="P80" s="3" t="s">
        <v>24</v>
      </c>
      <c r="Q80" t="s">
        <v>228</v>
      </c>
    </row>
    <row r="81" spans="1:17" x14ac:dyDescent="0.25">
      <c r="A81" s="5">
        <v>5032</v>
      </c>
      <c r="B81" s="3" t="s">
        <v>190</v>
      </c>
      <c r="C81" s="3" t="s">
        <v>34</v>
      </c>
      <c r="D81" s="3" t="s">
        <v>58</v>
      </c>
      <c r="F81" s="3" t="s">
        <v>229</v>
      </c>
      <c r="G81" s="9">
        <v>700</v>
      </c>
      <c r="H81" s="3" t="s">
        <v>21</v>
      </c>
      <c r="I81" s="4">
        <v>45439</v>
      </c>
      <c r="J81" t="s">
        <v>22</v>
      </c>
      <c r="K81" s="3" t="s">
        <v>23</v>
      </c>
      <c r="L81" s="3" t="s">
        <v>23</v>
      </c>
      <c r="P81" s="3" t="s">
        <v>24</v>
      </c>
      <c r="Q81" t="s">
        <v>230</v>
      </c>
    </row>
    <row r="82" spans="1:17" x14ac:dyDescent="0.25">
      <c r="A82" s="5">
        <v>5033</v>
      </c>
      <c r="B82" s="3" t="s">
        <v>190</v>
      </c>
      <c r="C82" s="3" t="s">
        <v>184</v>
      </c>
      <c r="D82" s="3" t="s">
        <v>58</v>
      </c>
      <c r="F82" s="3" t="s">
        <v>231</v>
      </c>
      <c r="G82" s="9">
        <v>600</v>
      </c>
      <c r="H82" s="3" t="s">
        <v>21</v>
      </c>
      <c r="I82" s="4">
        <v>45439</v>
      </c>
      <c r="J82" t="s">
        <v>22</v>
      </c>
      <c r="K82" s="3" t="s">
        <v>23</v>
      </c>
      <c r="L82" s="3" t="s">
        <v>23</v>
      </c>
      <c r="P82" s="3" t="s">
        <v>24</v>
      </c>
      <c r="Q82" t="s">
        <v>232</v>
      </c>
    </row>
    <row r="83" spans="1:17" x14ac:dyDescent="0.25">
      <c r="A83" s="5">
        <v>5034</v>
      </c>
      <c r="B83" s="3" t="s">
        <v>169</v>
      </c>
      <c r="C83" s="3" t="s">
        <v>29</v>
      </c>
      <c r="D83" s="3" t="s">
        <v>50</v>
      </c>
      <c r="F83" s="3" t="s">
        <v>233</v>
      </c>
      <c r="G83" s="9">
        <v>680</v>
      </c>
      <c r="H83" s="3" t="s">
        <v>21</v>
      </c>
      <c r="I83" s="4">
        <v>45439</v>
      </c>
      <c r="J83" t="s">
        <v>22</v>
      </c>
      <c r="K83" s="3" t="s">
        <v>23</v>
      </c>
      <c r="L83" s="3" t="s">
        <v>23</v>
      </c>
      <c r="P83" s="3" t="s">
        <v>24</v>
      </c>
      <c r="Q83" t="s">
        <v>234</v>
      </c>
    </row>
    <row r="84" spans="1:17" x14ac:dyDescent="0.25">
      <c r="A84" s="5">
        <v>5035</v>
      </c>
      <c r="B84" s="3" t="s">
        <v>169</v>
      </c>
      <c r="C84" s="3" t="s">
        <v>29</v>
      </c>
      <c r="D84" s="3" t="s">
        <v>50</v>
      </c>
      <c r="F84" s="3" t="s">
        <v>235</v>
      </c>
      <c r="G84" s="9">
        <v>200</v>
      </c>
      <c r="H84" s="3" t="s">
        <v>21</v>
      </c>
      <c r="I84" s="4">
        <v>45439</v>
      </c>
      <c r="J84" t="s">
        <v>22</v>
      </c>
      <c r="K84" s="3" t="s">
        <v>23</v>
      </c>
      <c r="L84" s="3" t="s">
        <v>23</v>
      </c>
      <c r="P84" s="3" t="s">
        <v>24</v>
      </c>
      <c r="Q84" t="s">
        <v>236</v>
      </c>
    </row>
    <row r="85" spans="1:17" x14ac:dyDescent="0.25">
      <c r="A85" s="5">
        <v>5036</v>
      </c>
      <c r="B85" s="3" t="s">
        <v>169</v>
      </c>
      <c r="C85" s="3" t="s">
        <v>31</v>
      </c>
      <c r="D85" s="3" t="s">
        <v>50</v>
      </c>
      <c r="F85" s="3" t="s">
        <v>199</v>
      </c>
      <c r="G85" s="9">
        <v>720</v>
      </c>
      <c r="H85" s="3" t="s">
        <v>21</v>
      </c>
      <c r="I85" s="4">
        <v>45439</v>
      </c>
      <c r="J85" t="s">
        <v>22</v>
      </c>
      <c r="K85" s="3" t="s">
        <v>23</v>
      </c>
      <c r="L85" s="3" t="s">
        <v>23</v>
      </c>
      <c r="P85" s="3" t="s">
        <v>24</v>
      </c>
      <c r="Q85" t="s">
        <v>237</v>
      </c>
    </row>
    <row r="86" spans="1:17" x14ac:dyDescent="0.25">
      <c r="A86" s="5">
        <v>5037</v>
      </c>
      <c r="B86" s="3" t="s">
        <v>238</v>
      </c>
      <c r="C86" s="3" t="s">
        <v>239</v>
      </c>
      <c r="D86" s="3" t="s">
        <v>58</v>
      </c>
      <c r="F86" s="3" t="s">
        <v>240</v>
      </c>
      <c r="G86" s="9">
        <v>2000</v>
      </c>
      <c r="H86" s="3" t="s">
        <v>21</v>
      </c>
      <c r="I86" s="4">
        <v>45439</v>
      </c>
      <c r="J86" t="s">
        <v>22</v>
      </c>
      <c r="K86" s="3" t="s">
        <v>23</v>
      </c>
      <c r="L86" s="3" t="s">
        <v>23</v>
      </c>
      <c r="P86" s="3" t="s">
        <v>24</v>
      </c>
      <c r="Q86" t="s">
        <v>241</v>
      </c>
    </row>
    <row r="87" spans="1:17" x14ac:dyDescent="0.25">
      <c r="A87" s="5">
        <v>5042</v>
      </c>
      <c r="B87" s="3" t="s">
        <v>17</v>
      </c>
      <c r="C87" s="3" t="s">
        <v>197</v>
      </c>
      <c r="D87" s="3" t="s">
        <v>35</v>
      </c>
      <c r="F87" s="3" t="s">
        <v>242</v>
      </c>
      <c r="G87" s="9">
        <v>250</v>
      </c>
      <c r="H87" s="3" t="s">
        <v>21</v>
      </c>
      <c r="I87" s="4">
        <v>45441</v>
      </c>
      <c r="J87" t="s">
        <v>22</v>
      </c>
      <c r="K87" s="3" t="s">
        <v>23</v>
      </c>
      <c r="L87" s="3" t="s">
        <v>23</v>
      </c>
      <c r="P87" s="3" t="s">
        <v>24</v>
      </c>
      <c r="Q87" t="s">
        <v>243</v>
      </c>
    </row>
    <row r="88" spans="1:17" x14ac:dyDescent="0.25">
      <c r="A88" s="5">
        <v>5043</v>
      </c>
      <c r="B88" s="3" t="s">
        <v>17</v>
      </c>
      <c r="C88" s="3" t="s">
        <v>18</v>
      </c>
      <c r="D88" s="3" t="s">
        <v>19</v>
      </c>
      <c r="F88" s="3" t="s">
        <v>244</v>
      </c>
      <c r="G88" s="9">
        <v>400</v>
      </c>
      <c r="H88" s="3" t="s">
        <v>21</v>
      </c>
      <c r="I88" s="3" t="s">
        <v>245</v>
      </c>
      <c r="J88" t="s">
        <v>22</v>
      </c>
      <c r="K88" s="3" t="s">
        <v>23</v>
      </c>
      <c r="L88" s="3" t="s">
        <v>23</v>
      </c>
      <c r="P88" s="3" t="s">
        <v>24</v>
      </c>
      <c r="Q88" t="s">
        <v>246</v>
      </c>
    </row>
    <row r="89" spans="1:17" x14ac:dyDescent="0.25">
      <c r="A89" s="5">
        <v>5044</v>
      </c>
      <c r="B89" s="3" t="s">
        <v>159</v>
      </c>
      <c r="C89" s="3" t="s">
        <v>34</v>
      </c>
      <c r="D89" s="3" t="s">
        <v>156</v>
      </c>
      <c r="F89" s="3" t="s">
        <v>247</v>
      </c>
      <c r="G89" s="9">
        <v>900</v>
      </c>
      <c r="H89" s="3" t="s">
        <v>21</v>
      </c>
      <c r="I89" s="4">
        <v>45445</v>
      </c>
      <c r="J89" t="s">
        <v>22</v>
      </c>
      <c r="K89" s="3" t="s">
        <v>23</v>
      </c>
      <c r="L89" s="3" t="s">
        <v>23</v>
      </c>
      <c r="P89" s="3" t="s">
        <v>24</v>
      </c>
    </row>
    <row r="90" spans="1:17" x14ac:dyDescent="0.25">
      <c r="A90" s="5">
        <v>5045</v>
      </c>
      <c r="B90" s="3" t="s">
        <v>190</v>
      </c>
      <c r="C90" s="3" t="s">
        <v>29</v>
      </c>
      <c r="D90" s="3" t="s">
        <v>58</v>
      </c>
      <c r="F90" s="3" t="s">
        <v>248</v>
      </c>
      <c r="G90" s="9">
        <v>550</v>
      </c>
      <c r="H90" s="3" t="s">
        <v>21</v>
      </c>
      <c r="I90" s="4">
        <v>45447</v>
      </c>
      <c r="J90" t="s">
        <v>22</v>
      </c>
      <c r="K90" s="3" t="s">
        <v>23</v>
      </c>
      <c r="L90" s="3" t="s">
        <v>23</v>
      </c>
      <c r="P90" s="3" t="s">
        <v>24</v>
      </c>
      <c r="Q90" t="s">
        <v>249</v>
      </c>
    </row>
    <row r="91" spans="1:17" x14ac:dyDescent="0.25">
      <c r="A91" s="5">
        <v>5046</v>
      </c>
      <c r="B91" s="3" t="s">
        <v>190</v>
      </c>
      <c r="C91" s="3" t="s">
        <v>184</v>
      </c>
      <c r="D91" s="3" t="s">
        <v>58</v>
      </c>
      <c r="F91" s="3" t="s">
        <v>225</v>
      </c>
      <c r="G91" s="9">
        <v>700</v>
      </c>
      <c r="H91" s="3" t="s">
        <v>21</v>
      </c>
      <c r="I91" s="4">
        <v>45447</v>
      </c>
      <c r="J91" t="s">
        <v>22</v>
      </c>
      <c r="K91" s="3" t="s">
        <v>23</v>
      </c>
      <c r="L91" s="3" t="s">
        <v>23</v>
      </c>
      <c r="P91" s="3" t="s">
        <v>24</v>
      </c>
      <c r="Q91" t="s">
        <v>250</v>
      </c>
    </row>
    <row r="92" spans="1:17" x14ac:dyDescent="0.25">
      <c r="A92" s="5">
        <v>5051</v>
      </c>
      <c r="B92" s="3" t="s">
        <v>190</v>
      </c>
      <c r="C92" s="3" t="s">
        <v>18</v>
      </c>
      <c r="D92" s="3" t="s">
        <v>58</v>
      </c>
      <c r="F92" s="3" t="s">
        <v>251</v>
      </c>
      <c r="G92" s="9">
        <v>650</v>
      </c>
      <c r="H92" s="3" t="s">
        <v>21</v>
      </c>
      <c r="I92" s="4">
        <v>45448</v>
      </c>
      <c r="J92" t="s">
        <v>22</v>
      </c>
      <c r="K92" s="3" t="s">
        <v>23</v>
      </c>
      <c r="L92" s="3" t="s">
        <v>23</v>
      </c>
      <c r="P92" s="3" t="s">
        <v>24</v>
      </c>
      <c r="Q92" t="s">
        <v>252</v>
      </c>
    </row>
    <row r="93" spans="1:17" x14ac:dyDescent="0.25">
      <c r="A93" s="5">
        <v>5052</v>
      </c>
      <c r="B93" s="3" t="s">
        <v>190</v>
      </c>
      <c r="C93" s="3" t="s">
        <v>29</v>
      </c>
      <c r="D93" s="3" t="s">
        <v>58</v>
      </c>
      <c r="F93" s="3" t="s">
        <v>253</v>
      </c>
      <c r="G93" s="9">
        <v>375</v>
      </c>
      <c r="H93" s="3" t="s">
        <v>21</v>
      </c>
      <c r="I93" s="4">
        <v>45448</v>
      </c>
      <c r="J93" t="s">
        <v>22</v>
      </c>
      <c r="K93" s="3" t="s">
        <v>23</v>
      </c>
      <c r="L93" s="3" t="s">
        <v>23</v>
      </c>
      <c r="P93" s="3" t="s">
        <v>24</v>
      </c>
      <c r="Q93" t="s">
        <v>254</v>
      </c>
    </row>
    <row r="94" spans="1:17" x14ac:dyDescent="0.25">
      <c r="A94" s="5">
        <v>5053</v>
      </c>
      <c r="B94" s="3" t="s">
        <v>190</v>
      </c>
      <c r="C94" s="3" t="s">
        <v>18</v>
      </c>
      <c r="D94" s="3" t="s">
        <v>58</v>
      </c>
      <c r="F94" s="3" t="s">
        <v>255</v>
      </c>
      <c r="G94" s="9">
        <v>1100</v>
      </c>
      <c r="H94" s="3" t="s">
        <v>21</v>
      </c>
      <c r="I94" s="4">
        <v>45448</v>
      </c>
      <c r="J94" t="s">
        <v>22</v>
      </c>
      <c r="K94" s="3" t="s">
        <v>23</v>
      </c>
      <c r="L94" s="3" t="s">
        <v>23</v>
      </c>
      <c r="P94" s="3" t="s">
        <v>24</v>
      </c>
      <c r="Q94" t="s">
        <v>256</v>
      </c>
    </row>
    <row r="95" spans="1:17" x14ac:dyDescent="0.25">
      <c r="A95" s="5">
        <v>5054</v>
      </c>
      <c r="B95" s="3" t="s">
        <v>190</v>
      </c>
      <c r="C95" s="3" t="s">
        <v>29</v>
      </c>
      <c r="D95" s="3" t="s">
        <v>58</v>
      </c>
      <c r="F95" s="3" t="s">
        <v>257</v>
      </c>
      <c r="G95" s="9">
        <v>1650</v>
      </c>
      <c r="H95" s="3" t="s">
        <v>21</v>
      </c>
      <c r="I95" s="4">
        <v>45448</v>
      </c>
      <c r="J95" t="s">
        <v>22</v>
      </c>
      <c r="K95" s="3" t="s">
        <v>23</v>
      </c>
      <c r="L95" s="3" t="s">
        <v>23</v>
      </c>
      <c r="P95" s="3" t="s">
        <v>24</v>
      </c>
      <c r="Q95" t="s">
        <v>258</v>
      </c>
    </row>
    <row r="96" spans="1:17" x14ac:dyDescent="0.25">
      <c r="A96" s="5">
        <v>5055</v>
      </c>
      <c r="B96" s="3" t="s">
        <v>190</v>
      </c>
      <c r="C96" s="3" t="s">
        <v>40</v>
      </c>
      <c r="D96" s="3" t="s">
        <v>58</v>
      </c>
      <c r="F96" s="3" t="s">
        <v>259</v>
      </c>
      <c r="G96" s="9">
        <v>750</v>
      </c>
      <c r="H96" s="3" t="s">
        <v>21</v>
      </c>
      <c r="I96" s="4">
        <v>45448</v>
      </c>
      <c r="J96" t="s">
        <v>22</v>
      </c>
      <c r="K96" s="3" t="s">
        <v>23</v>
      </c>
      <c r="L96" s="3" t="s">
        <v>23</v>
      </c>
      <c r="P96" s="3" t="s">
        <v>24</v>
      </c>
      <c r="Q96" t="s">
        <v>260</v>
      </c>
    </row>
    <row r="97" spans="1:17" x14ac:dyDescent="0.25">
      <c r="A97" s="5">
        <v>5056</v>
      </c>
      <c r="B97" s="3" t="s">
        <v>190</v>
      </c>
      <c r="C97" s="3" t="s">
        <v>34</v>
      </c>
      <c r="D97" s="3" t="s">
        <v>58</v>
      </c>
      <c r="F97" s="3" t="s">
        <v>261</v>
      </c>
      <c r="G97" s="9">
        <v>1300</v>
      </c>
      <c r="H97" s="3" t="s">
        <v>21</v>
      </c>
      <c r="I97" s="4">
        <v>45449</v>
      </c>
      <c r="J97" t="s">
        <v>22</v>
      </c>
      <c r="K97" s="3" t="s">
        <v>23</v>
      </c>
      <c r="L97" s="3" t="s">
        <v>23</v>
      </c>
      <c r="P97" s="3" t="s">
        <v>24</v>
      </c>
      <c r="Q97" t="s">
        <v>262</v>
      </c>
    </row>
    <row r="98" spans="1:17" x14ac:dyDescent="0.25">
      <c r="A98" s="5">
        <v>5057</v>
      </c>
      <c r="B98" s="3" t="s">
        <v>190</v>
      </c>
      <c r="C98" s="3" t="s">
        <v>34</v>
      </c>
      <c r="D98" s="3" t="s">
        <v>58</v>
      </c>
      <c r="F98" s="3" t="s">
        <v>263</v>
      </c>
      <c r="G98" s="9">
        <v>1250</v>
      </c>
      <c r="H98" s="3" t="s">
        <v>21</v>
      </c>
      <c r="I98" s="4">
        <v>45449</v>
      </c>
      <c r="J98" t="s">
        <v>22</v>
      </c>
      <c r="K98" s="3" t="s">
        <v>23</v>
      </c>
      <c r="L98" s="3" t="s">
        <v>23</v>
      </c>
      <c r="P98" s="3" t="s">
        <v>24</v>
      </c>
      <c r="Q98" t="s">
        <v>264</v>
      </c>
    </row>
    <row r="99" spans="1:17" x14ac:dyDescent="0.25">
      <c r="A99" s="5">
        <v>5058</v>
      </c>
      <c r="B99" s="3" t="s">
        <v>190</v>
      </c>
      <c r="C99" s="3" t="s">
        <v>197</v>
      </c>
      <c r="D99" s="3" t="s">
        <v>58</v>
      </c>
      <c r="F99" s="3" t="s">
        <v>265</v>
      </c>
      <c r="G99" s="9">
        <v>850</v>
      </c>
      <c r="H99" s="3" t="s">
        <v>21</v>
      </c>
      <c r="I99" s="4">
        <v>45449</v>
      </c>
      <c r="J99" t="s">
        <v>22</v>
      </c>
      <c r="K99" s="3" t="s">
        <v>23</v>
      </c>
      <c r="L99" s="3" t="s">
        <v>23</v>
      </c>
      <c r="P99" s="3" t="s">
        <v>24</v>
      </c>
      <c r="Q99" t="s">
        <v>266</v>
      </c>
    </row>
    <row r="100" spans="1:17" x14ac:dyDescent="0.25">
      <c r="A100" s="5">
        <v>5059</v>
      </c>
      <c r="B100" s="3" t="s">
        <v>190</v>
      </c>
      <c r="C100" s="3" t="s">
        <v>197</v>
      </c>
      <c r="D100" s="3" t="s">
        <v>58</v>
      </c>
      <c r="F100" s="3" t="s">
        <v>267</v>
      </c>
      <c r="G100" s="9">
        <v>600</v>
      </c>
      <c r="H100" s="3" t="s">
        <v>21</v>
      </c>
      <c r="I100" s="4">
        <v>45449</v>
      </c>
      <c r="J100" t="s">
        <v>22</v>
      </c>
      <c r="K100" s="3" t="s">
        <v>23</v>
      </c>
      <c r="L100" s="3" t="s">
        <v>23</v>
      </c>
      <c r="P100" s="3" t="s">
        <v>24</v>
      </c>
      <c r="Q100" t="s">
        <v>268</v>
      </c>
    </row>
    <row r="101" spans="1:17" x14ac:dyDescent="0.25">
      <c r="A101" s="5">
        <v>5060</v>
      </c>
      <c r="B101" s="3" t="s">
        <v>269</v>
      </c>
      <c r="C101" s="3" t="s">
        <v>40</v>
      </c>
      <c r="D101" s="3" t="s">
        <v>156</v>
      </c>
      <c r="F101" s="3" t="s">
        <v>270</v>
      </c>
      <c r="G101" s="9">
        <v>9000</v>
      </c>
      <c r="H101" s="3" t="s">
        <v>21</v>
      </c>
      <c r="I101" s="4">
        <v>45451</v>
      </c>
      <c r="J101" t="s">
        <v>37</v>
      </c>
      <c r="K101" s="3" t="s">
        <v>23</v>
      </c>
      <c r="L101" s="3" t="s">
        <v>23</v>
      </c>
      <c r="M101" s="3" t="s">
        <v>271</v>
      </c>
      <c r="N101" s="3"/>
      <c r="O101" s="3"/>
      <c r="P101" s="3" t="s">
        <v>24</v>
      </c>
      <c r="Q101" t="s">
        <v>272</v>
      </c>
    </row>
    <row r="102" spans="1:17" x14ac:dyDescent="0.25">
      <c r="A102" s="5">
        <v>5063</v>
      </c>
      <c r="B102" s="3" t="s">
        <v>17</v>
      </c>
      <c r="C102" s="3" t="s">
        <v>197</v>
      </c>
      <c r="D102" s="3" t="s">
        <v>35</v>
      </c>
      <c r="F102" s="3" t="s">
        <v>273</v>
      </c>
      <c r="G102" s="9">
        <v>250</v>
      </c>
      <c r="H102" s="3" t="s">
        <v>21</v>
      </c>
      <c r="I102" s="4">
        <v>45452</v>
      </c>
      <c r="J102" t="s">
        <v>22</v>
      </c>
      <c r="K102" s="3" t="s">
        <v>23</v>
      </c>
      <c r="L102" s="3" t="s">
        <v>23</v>
      </c>
      <c r="P102" s="3" t="s">
        <v>24</v>
      </c>
      <c r="Q102" t="s">
        <v>274</v>
      </c>
    </row>
    <row r="103" spans="1:17" x14ac:dyDescent="0.25">
      <c r="A103" s="5">
        <v>5064</v>
      </c>
      <c r="B103" s="3" t="s">
        <v>190</v>
      </c>
      <c r="C103" s="3" t="s">
        <v>29</v>
      </c>
      <c r="D103" s="3" t="s">
        <v>58</v>
      </c>
      <c r="F103" s="3" t="s">
        <v>275</v>
      </c>
      <c r="G103" s="10">
        <v>1975</v>
      </c>
      <c r="H103" s="3" t="s">
        <v>21</v>
      </c>
      <c r="I103" s="4">
        <v>45452</v>
      </c>
      <c r="J103" t="s">
        <v>22</v>
      </c>
      <c r="K103" s="3" t="s">
        <v>23</v>
      </c>
      <c r="L103" s="3" t="s">
        <v>23</v>
      </c>
      <c r="P103" s="3" t="s">
        <v>24</v>
      </c>
      <c r="Q103" t="s">
        <v>276</v>
      </c>
    </row>
    <row r="104" spans="1:17" x14ac:dyDescent="0.25">
      <c r="A104" s="5">
        <v>5065</v>
      </c>
      <c r="B104" s="3" t="s">
        <v>190</v>
      </c>
      <c r="C104" s="3" t="s">
        <v>197</v>
      </c>
      <c r="D104" s="3" t="s">
        <v>58</v>
      </c>
      <c r="F104" s="3" t="s">
        <v>275</v>
      </c>
      <c r="G104" s="10">
        <v>1975</v>
      </c>
      <c r="H104" s="3" t="s">
        <v>21</v>
      </c>
      <c r="I104" s="4">
        <v>45452</v>
      </c>
      <c r="J104" t="s">
        <v>22</v>
      </c>
      <c r="K104" s="3" t="s">
        <v>23</v>
      </c>
      <c r="L104" s="3" t="s">
        <v>23</v>
      </c>
      <c r="P104" s="3" t="s">
        <v>24</v>
      </c>
      <c r="Q104" t="s">
        <v>277</v>
      </c>
    </row>
    <row r="105" spans="1:17" x14ac:dyDescent="0.25">
      <c r="A105" s="5">
        <v>5066</v>
      </c>
      <c r="B105" s="3" t="s">
        <v>190</v>
      </c>
      <c r="C105" s="3" t="s">
        <v>18</v>
      </c>
      <c r="D105" s="3" t="s">
        <v>58</v>
      </c>
      <c r="F105" s="3" t="s">
        <v>251</v>
      </c>
      <c r="G105" s="9">
        <v>375</v>
      </c>
      <c r="H105" s="3" t="s">
        <v>21</v>
      </c>
      <c r="I105" s="4">
        <v>45452</v>
      </c>
      <c r="J105" t="s">
        <v>22</v>
      </c>
      <c r="K105" s="3" t="s">
        <v>23</v>
      </c>
      <c r="L105" s="3" t="s">
        <v>23</v>
      </c>
      <c r="P105" s="3" t="s">
        <v>24</v>
      </c>
      <c r="Q105" t="s">
        <v>278</v>
      </c>
    </row>
    <row r="106" spans="1:17" x14ac:dyDescent="0.25">
      <c r="A106" s="5">
        <v>5067</v>
      </c>
      <c r="B106" s="3" t="s">
        <v>190</v>
      </c>
      <c r="C106" s="3" t="s">
        <v>29</v>
      </c>
      <c r="D106" s="3" t="s">
        <v>58</v>
      </c>
      <c r="E106" s="3" t="s">
        <v>279</v>
      </c>
      <c r="F106" s="3" t="s">
        <v>280</v>
      </c>
      <c r="G106" s="9">
        <v>1650</v>
      </c>
      <c r="H106" s="3" t="s">
        <v>21</v>
      </c>
      <c r="I106" s="4">
        <v>45452</v>
      </c>
      <c r="J106" t="s">
        <v>22</v>
      </c>
      <c r="K106" s="3" t="s">
        <v>23</v>
      </c>
      <c r="L106" s="3" t="s">
        <v>23</v>
      </c>
      <c r="P106" s="3" t="s">
        <v>24</v>
      </c>
      <c r="Q106" t="s">
        <v>281</v>
      </c>
    </row>
    <row r="107" spans="1:17" x14ac:dyDescent="0.25">
      <c r="A107" s="5">
        <v>5075</v>
      </c>
      <c r="B107" s="3" t="s">
        <v>39</v>
      </c>
      <c r="C107" s="3" t="s">
        <v>18</v>
      </c>
      <c r="D107" s="3" t="s">
        <v>41</v>
      </c>
      <c r="E107" s="3" t="s">
        <v>282</v>
      </c>
      <c r="F107" s="3" t="s">
        <v>283</v>
      </c>
      <c r="G107" s="9">
        <v>1580</v>
      </c>
      <c r="H107" s="3" t="s">
        <v>21</v>
      </c>
      <c r="I107" s="4">
        <v>45462</v>
      </c>
      <c r="J107" t="s">
        <v>22</v>
      </c>
      <c r="K107" s="3" t="s">
        <v>23</v>
      </c>
      <c r="L107" s="3" t="s">
        <v>23</v>
      </c>
      <c r="P107" s="3" t="s">
        <v>24</v>
      </c>
      <c r="Q107" t="s">
        <v>284</v>
      </c>
    </row>
    <row r="108" spans="1:17" x14ac:dyDescent="0.25">
      <c r="A108" s="5">
        <v>5076</v>
      </c>
      <c r="B108" s="3" t="s">
        <v>159</v>
      </c>
      <c r="C108" s="3" t="s">
        <v>18</v>
      </c>
      <c r="D108" s="3" t="s">
        <v>160</v>
      </c>
      <c r="E108" s="3" t="s">
        <v>285</v>
      </c>
      <c r="F108" s="3" t="s">
        <v>286</v>
      </c>
      <c r="G108" s="9">
        <v>7800</v>
      </c>
      <c r="H108" s="3" t="s">
        <v>21</v>
      </c>
      <c r="I108" s="4">
        <v>45462</v>
      </c>
      <c r="J108" t="s">
        <v>70</v>
      </c>
      <c r="K108" s="3" t="s">
        <v>23</v>
      </c>
      <c r="L108" s="3" t="s">
        <v>23</v>
      </c>
      <c r="P108" s="3" t="s">
        <v>24</v>
      </c>
      <c r="Q108" t="s">
        <v>287</v>
      </c>
    </row>
    <row r="109" spans="1:17" x14ac:dyDescent="0.25">
      <c r="A109" s="5">
        <v>5077</v>
      </c>
      <c r="B109" s="3" t="s">
        <v>190</v>
      </c>
      <c r="C109" s="3" t="s">
        <v>18</v>
      </c>
      <c r="D109" s="3" t="s">
        <v>58</v>
      </c>
      <c r="E109" s="3" t="s">
        <v>288</v>
      </c>
      <c r="F109" s="3" t="s">
        <v>289</v>
      </c>
      <c r="G109" s="9">
        <v>1900</v>
      </c>
      <c r="H109" s="3" t="s">
        <v>21</v>
      </c>
      <c r="I109" s="4">
        <v>45466</v>
      </c>
      <c r="J109" t="s">
        <v>22</v>
      </c>
      <c r="K109" s="3" t="s">
        <v>23</v>
      </c>
      <c r="L109" s="3" t="s">
        <v>23</v>
      </c>
      <c r="P109" s="3" t="s">
        <v>24</v>
      </c>
      <c r="Q109" t="s">
        <v>290</v>
      </c>
    </row>
    <row r="110" spans="1:17" x14ac:dyDescent="0.25">
      <c r="A110" s="5">
        <v>5078</v>
      </c>
      <c r="B110" s="3" t="s">
        <v>190</v>
      </c>
      <c r="C110" s="3" t="s">
        <v>34</v>
      </c>
      <c r="D110" s="3" t="s">
        <v>58</v>
      </c>
      <c r="E110" s="3" t="s">
        <v>291</v>
      </c>
      <c r="F110" s="3" t="s">
        <v>292</v>
      </c>
      <c r="G110" s="9">
        <v>395</v>
      </c>
      <c r="H110" s="3" t="s">
        <v>21</v>
      </c>
      <c r="I110" s="4">
        <v>45469</v>
      </c>
      <c r="J110" t="s">
        <v>22</v>
      </c>
      <c r="K110" s="3" t="s">
        <v>23</v>
      </c>
      <c r="L110" s="3" t="s">
        <v>23</v>
      </c>
      <c r="P110" s="3" t="s">
        <v>24</v>
      </c>
      <c r="Q110" t="s">
        <v>293</v>
      </c>
    </row>
    <row r="111" spans="1:17" x14ac:dyDescent="0.25">
      <c r="A111" s="5">
        <v>5079</v>
      </c>
      <c r="B111" s="3" t="s">
        <v>190</v>
      </c>
      <c r="C111" s="3" t="s">
        <v>34</v>
      </c>
      <c r="D111" s="3" t="s">
        <v>58</v>
      </c>
      <c r="E111" s="3" t="s">
        <v>294</v>
      </c>
      <c r="F111" s="3" t="s">
        <v>295</v>
      </c>
      <c r="G111" s="9">
        <v>495</v>
      </c>
      <c r="H111" s="3" t="s">
        <v>21</v>
      </c>
      <c r="I111" s="4">
        <v>45469</v>
      </c>
      <c r="J111" t="s">
        <v>22</v>
      </c>
      <c r="K111" s="3" t="s">
        <v>23</v>
      </c>
      <c r="L111" s="3" t="s">
        <v>23</v>
      </c>
      <c r="P111" s="3" t="s">
        <v>24</v>
      </c>
      <c r="Q111" t="s">
        <v>296</v>
      </c>
    </row>
    <row r="112" spans="1:17" x14ac:dyDescent="0.25">
      <c r="A112" s="5">
        <v>5087</v>
      </c>
      <c r="B112" s="3" t="s">
        <v>190</v>
      </c>
      <c r="C112" s="3" t="s">
        <v>197</v>
      </c>
      <c r="D112" s="3" t="s">
        <v>58</v>
      </c>
      <c r="E112" s="3" t="s">
        <v>297</v>
      </c>
      <c r="F112" s="3" t="s">
        <v>298</v>
      </c>
      <c r="G112" s="9">
        <v>2700</v>
      </c>
      <c r="H112" s="3" t="s">
        <v>21</v>
      </c>
      <c r="I112" s="4">
        <v>45469</v>
      </c>
      <c r="J112" t="s">
        <v>22</v>
      </c>
      <c r="K112" s="3" t="s">
        <v>23</v>
      </c>
      <c r="L112" s="3" t="s">
        <v>23</v>
      </c>
      <c r="P112" s="3" t="s">
        <v>24</v>
      </c>
      <c r="Q112" t="s">
        <v>299</v>
      </c>
    </row>
    <row r="113" spans="1:17" x14ac:dyDescent="0.25">
      <c r="A113" s="5">
        <v>5088</v>
      </c>
      <c r="B113" s="3" t="s">
        <v>190</v>
      </c>
      <c r="C113" s="3" t="s">
        <v>29</v>
      </c>
      <c r="D113" s="3" t="s">
        <v>58</v>
      </c>
      <c r="E113" s="3" t="s">
        <v>300</v>
      </c>
      <c r="F113" s="3" t="s">
        <v>233</v>
      </c>
      <c r="G113" s="9">
        <v>600</v>
      </c>
      <c r="H113" s="3" t="s">
        <v>21</v>
      </c>
      <c r="I113" s="4">
        <v>45469</v>
      </c>
      <c r="J113" t="s">
        <v>22</v>
      </c>
      <c r="K113" s="3" t="s">
        <v>23</v>
      </c>
      <c r="L113" s="3" t="s">
        <v>23</v>
      </c>
      <c r="P113" s="3" t="s">
        <v>24</v>
      </c>
      <c r="Q113" t="s">
        <v>301</v>
      </c>
    </row>
    <row r="114" spans="1:17" x14ac:dyDescent="0.25">
      <c r="A114" s="5">
        <v>5089</v>
      </c>
      <c r="B114" s="3" t="s">
        <v>190</v>
      </c>
      <c r="C114" s="3" t="s">
        <v>18</v>
      </c>
      <c r="D114" s="3" t="s">
        <v>58</v>
      </c>
      <c r="E114" s="3" t="s">
        <v>302</v>
      </c>
      <c r="F114" s="3" t="s">
        <v>303</v>
      </c>
      <c r="G114" s="9">
        <v>375</v>
      </c>
      <c r="H114" s="3" t="s">
        <v>21</v>
      </c>
      <c r="I114" s="4">
        <v>45469</v>
      </c>
      <c r="J114" t="s">
        <v>22</v>
      </c>
      <c r="K114" s="3" t="s">
        <v>23</v>
      </c>
      <c r="L114" s="3" t="s">
        <v>23</v>
      </c>
      <c r="P114" s="3" t="s">
        <v>24</v>
      </c>
      <c r="Q114" t="s">
        <v>304</v>
      </c>
    </row>
    <row r="115" spans="1:17" x14ac:dyDescent="0.25">
      <c r="A115" s="5">
        <v>5090</v>
      </c>
      <c r="B115" s="3" t="s">
        <v>190</v>
      </c>
      <c r="C115" s="3" t="s">
        <v>40</v>
      </c>
      <c r="D115" s="3" t="s">
        <v>58</v>
      </c>
      <c r="E115" s="3" t="s">
        <v>305</v>
      </c>
      <c r="F115" s="3" t="s">
        <v>306</v>
      </c>
      <c r="G115" s="9">
        <v>900</v>
      </c>
      <c r="H115" s="3" t="s">
        <v>21</v>
      </c>
      <c r="I115" s="4">
        <v>45469</v>
      </c>
      <c r="J115" t="s">
        <v>22</v>
      </c>
      <c r="K115" s="3" t="s">
        <v>23</v>
      </c>
      <c r="L115" s="3" t="s">
        <v>23</v>
      </c>
      <c r="P115" s="3" t="s">
        <v>24</v>
      </c>
      <c r="Q115" t="s">
        <v>307</v>
      </c>
    </row>
    <row r="116" spans="1:17" x14ac:dyDescent="0.25">
      <c r="A116" s="5">
        <v>5091</v>
      </c>
      <c r="B116" s="3" t="s">
        <v>190</v>
      </c>
      <c r="C116" s="3" t="s">
        <v>34</v>
      </c>
      <c r="D116" s="3" t="s">
        <v>58</v>
      </c>
      <c r="E116" s="3" t="s">
        <v>308</v>
      </c>
      <c r="F116" s="3" t="s">
        <v>309</v>
      </c>
      <c r="G116" s="9">
        <v>495</v>
      </c>
      <c r="H116" s="3" t="s">
        <v>21</v>
      </c>
      <c r="I116" s="4">
        <v>45469</v>
      </c>
      <c r="J116" t="s">
        <v>22</v>
      </c>
      <c r="K116" s="3" t="s">
        <v>23</v>
      </c>
      <c r="L116" s="3" t="s">
        <v>23</v>
      </c>
      <c r="P116" s="3" t="s">
        <v>24</v>
      </c>
      <c r="Q116" t="s">
        <v>310</v>
      </c>
    </row>
    <row r="117" spans="1:17" x14ac:dyDescent="0.25">
      <c r="A117" s="5">
        <v>5092</v>
      </c>
      <c r="B117" s="3" t="s">
        <v>190</v>
      </c>
      <c r="C117" s="3" t="s">
        <v>29</v>
      </c>
      <c r="D117" s="3" t="s">
        <v>58</v>
      </c>
      <c r="E117" s="3" t="s">
        <v>311</v>
      </c>
      <c r="F117" s="3" t="s">
        <v>312</v>
      </c>
      <c r="G117" s="9">
        <v>800</v>
      </c>
      <c r="H117" s="3" t="s">
        <v>21</v>
      </c>
      <c r="I117" s="4">
        <v>45469</v>
      </c>
      <c r="J117" t="s">
        <v>22</v>
      </c>
      <c r="K117" s="3" t="s">
        <v>23</v>
      </c>
      <c r="L117" s="3" t="s">
        <v>23</v>
      </c>
      <c r="P117" s="3" t="s">
        <v>24</v>
      </c>
      <c r="Q117" t="s">
        <v>313</v>
      </c>
    </row>
    <row r="118" spans="1:17" x14ac:dyDescent="0.25">
      <c r="A118" s="5">
        <v>5093</v>
      </c>
      <c r="B118" s="3" t="s">
        <v>39</v>
      </c>
      <c r="C118" s="3" t="s">
        <v>40</v>
      </c>
      <c r="D118" s="3" t="s">
        <v>41</v>
      </c>
      <c r="E118" s="3" t="s">
        <v>314</v>
      </c>
      <c r="F118" s="3" t="s">
        <v>315</v>
      </c>
      <c r="G118" s="9">
        <v>63620</v>
      </c>
      <c r="H118" s="3" t="s">
        <v>21</v>
      </c>
      <c r="I118" s="4">
        <v>45469</v>
      </c>
      <c r="J118" t="s">
        <v>22</v>
      </c>
      <c r="K118" s="3" t="s">
        <v>23</v>
      </c>
      <c r="L118" s="3" t="s">
        <v>23</v>
      </c>
      <c r="M118" s="3"/>
      <c r="N118" s="3"/>
      <c r="O118" s="3"/>
      <c r="P118" s="3" t="s">
        <v>24</v>
      </c>
      <c r="Q118" t="s">
        <v>316</v>
      </c>
    </row>
    <row r="119" spans="1:17" x14ac:dyDescent="0.25">
      <c r="A119" s="5">
        <v>5094</v>
      </c>
      <c r="B119" s="3" t="s">
        <v>17</v>
      </c>
      <c r="C119" s="3" t="s">
        <v>197</v>
      </c>
      <c r="D119" s="3" t="s">
        <v>19</v>
      </c>
      <c r="E119" s="3" t="s">
        <v>317</v>
      </c>
      <c r="F119" s="3" t="s">
        <v>318</v>
      </c>
      <c r="G119" s="9">
        <v>2400</v>
      </c>
      <c r="H119" s="3" t="s">
        <v>21</v>
      </c>
      <c r="I119" s="4">
        <v>45473</v>
      </c>
      <c r="J119" t="s">
        <v>37</v>
      </c>
      <c r="K119" s="3" t="s">
        <v>23</v>
      </c>
      <c r="L119" s="3" t="s">
        <v>23</v>
      </c>
      <c r="P119" s="3" t="s">
        <v>24</v>
      </c>
      <c r="Q119" t="s">
        <v>319</v>
      </c>
    </row>
    <row r="120" spans="1:17" x14ac:dyDescent="0.25">
      <c r="A120" s="5">
        <v>5095</v>
      </c>
      <c r="B120" s="3" t="s">
        <v>159</v>
      </c>
      <c r="C120" s="3" t="s">
        <v>184</v>
      </c>
      <c r="D120" s="3" t="s">
        <v>160</v>
      </c>
      <c r="E120" s="3" t="s">
        <v>320</v>
      </c>
      <c r="F120" s="3" t="s">
        <v>321</v>
      </c>
      <c r="G120" s="9">
        <v>4200</v>
      </c>
      <c r="H120" s="3" t="s">
        <v>21</v>
      </c>
      <c r="I120" s="4">
        <v>45474</v>
      </c>
      <c r="J120" t="s">
        <v>70</v>
      </c>
      <c r="K120" s="3" t="s">
        <v>23</v>
      </c>
      <c r="L120" s="3" t="s">
        <v>23</v>
      </c>
      <c r="P120" s="3" t="s">
        <v>24</v>
      </c>
      <c r="Q120" t="s">
        <v>322</v>
      </c>
    </row>
    <row r="121" spans="1:17" x14ac:dyDescent="0.25">
      <c r="A121" s="5">
        <v>5096</v>
      </c>
      <c r="B121" s="3" t="s">
        <v>190</v>
      </c>
      <c r="C121" s="3" t="s">
        <v>323</v>
      </c>
      <c r="D121" s="3" t="s">
        <v>73</v>
      </c>
      <c r="E121" s="3" t="s">
        <v>324</v>
      </c>
      <c r="F121" s="3" t="s">
        <v>325</v>
      </c>
      <c r="G121" s="9">
        <v>113000</v>
      </c>
      <c r="H121" s="3" t="s">
        <v>21</v>
      </c>
      <c r="I121" s="4">
        <v>45474</v>
      </c>
      <c r="J121" t="s">
        <v>326</v>
      </c>
      <c r="K121" s="3" t="s">
        <v>23</v>
      </c>
      <c r="L121" s="3" t="s">
        <v>23</v>
      </c>
      <c r="P121" s="3" t="s">
        <v>24</v>
      </c>
      <c r="Q121" t="s">
        <v>327</v>
      </c>
    </row>
    <row r="122" spans="1:17" x14ac:dyDescent="0.25">
      <c r="A122" s="5">
        <v>5130</v>
      </c>
      <c r="B122" s="3" t="s">
        <v>39</v>
      </c>
      <c r="C122" s="3" t="s">
        <v>18</v>
      </c>
      <c r="D122" s="3" t="s">
        <v>50</v>
      </c>
      <c r="E122" s="3" t="s">
        <v>328</v>
      </c>
      <c r="F122" s="3" t="s">
        <v>329</v>
      </c>
      <c r="G122" s="9">
        <v>550</v>
      </c>
      <c r="H122" s="3" t="s">
        <v>21</v>
      </c>
      <c r="I122" s="4">
        <v>45490</v>
      </c>
      <c r="J122" t="s">
        <v>22</v>
      </c>
      <c r="K122" s="3" t="s">
        <v>23</v>
      </c>
      <c r="L122" s="3" t="s">
        <v>23</v>
      </c>
      <c r="P122" s="3" t="s">
        <v>24</v>
      </c>
      <c r="Q122" t="s">
        <v>330</v>
      </c>
    </row>
    <row r="123" spans="1:17" x14ac:dyDescent="0.25">
      <c r="A123" s="5">
        <v>5131</v>
      </c>
      <c r="B123" s="3" t="s">
        <v>39</v>
      </c>
      <c r="C123" s="3" t="s">
        <v>34</v>
      </c>
      <c r="D123" s="3" t="s">
        <v>41</v>
      </c>
      <c r="E123" s="3" t="s">
        <v>331</v>
      </c>
      <c r="F123" s="3" t="s">
        <v>332</v>
      </c>
      <c r="G123" s="9">
        <v>290</v>
      </c>
      <c r="H123" s="3" t="s">
        <v>21</v>
      </c>
      <c r="I123" s="4">
        <v>45490</v>
      </c>
      <c r="J123" t="s">
        <v>22</v>
      </c>
      <c r="K123" s="3" t="s">
        <v>23</v>
      </c>
      <c r="L123" s="3" t="s">
        <v>23</v>
      </c>
      <c r="P123" s="3" t="s">
        <v>24</v>
      </c>
      <c r="Q123" t="s">
        <v>333</v>
      </c>
    </row>
    <row r="124" spans="1:17" x14ac:dyDescent="0.25">
      <c r="A124" s="5">
        <v>5132</v>
      </c>
      <c r="B124" s="3" t="s">
        <v>334</v>
      </c>
      <c r="C124" s="3" t="s">
        <v>184</v>
      </c>
      <c r="D124" s="3" t="s">
        <v>50</v>
      </c>
      <c r="F124" s="3" t="s">
        <v>335</v>
      </c>
      <c r="G124" s="9">
        <v>1250</v>
      </c>
      <c r="H124" s="3" t="s">
        <v>21</v>
      </c>
      <c r="I124" s="4">
        <v>45491</v>
      </c>
      <c r="J124" t="s">
        <v>37</v>
      </c>
      <c r="K124" s="3" t="s">
        <v>23</v>
      </c>
      <c r="L124" s="3" t="s">
        <v>23</v>
      </c>
      <c r="P124" s="3" t="s">
        <v>24</v>
      </c>
      <c r="Q124" t="s">
        <v>336</v>
      </c>
    </row>
    <row r="125" spans="1:17" x14ac:dyDescent="0.25">
      <c r="A125" s="5">
        <v>5133</v>
      </c>
      <c r="B125" s="3" t="s">
        <v>190</v>
      </c>
      <c r="C125" s="3" t="s">
        <v>40</v>
      </c>
      <c r="D125" s="3" t="s">
        <v>58</v>
      </c>
      <c r="E125" s="3" t="s">
        <v>337</v>
      </c>
      <c r="F125" s="3" t="s">
        <v>338</v>
      </c>
      <c r="G125" s="9">
        <v>8980</v>
      </c>
      <c r="H125" s="3" t="s">
        <v>21</v>
      </c>
      <c r="I125" s="4">
        <v>45127</v>
      </c>
      <c r="J125" t="s">
        <v>22</v>
      </c>
      <c r="K125" s="3" t="s">
        <v>23</v>
      </c>
      <c r="L125" s="3" t="s">
        <v>23</v>
      </c>
      <c r="P125" s="3" t="s">
        <v>24</v>
      </c>
    </row>
    <row r="126" spans="1:17" x14ac:dyDescent="0.25">
      <c r="A126" s="5">
        <v>5134</v>
      </c>
      <c r="B126" s="3" t="s">
        <v>169</v>
      </c>
      <c r="C126" s="3" t="s">
        <v>40</v>
      </c>
      <c r="D126" s="3" t="s">
        <v>50</v>
      </c>
      <c r="E126" s="3" t="s">
        <v>339</v>
      </c>
      <c r="F126" s="3" t="s">
        <v>340</v>
      </c>
      <c r="G126" s="9">
        <v>1150</v>
      </c>
      <c r="H126" s="3" t="s">
        <v>21</v>
      </c>
      <c r="I126" s="4">
        <v>45495</v>
      </c>
      <c r="J126" t="s">
        <v>22</v>
      </c>
      <c r="K126" s="3" t="s">
        <v>23</v>
      </c>
      <c r="L126" s="3" t="s">
        <v>23</v>
      </c>
      <c r="P126" s="3" t="s">
        <v>24</v>
      </c>
      <c r="Q126" t="s">
        <v>341</v>
      </c>
    </row>
    <row r="127" spans="1:17" x14ac:dyDescent="0.25">
      <c r="A127" s="5">
        <v>5135</v>
      </c>
      <c r="B127" s="3" t="s">
        <v>113</v>
      </c>
      <c r="C127" s="3" t="s">
        <v>40</v>
      </c>
      <c r="D127" s="3" t="s">
        <v>342</v>
      </c>
      <c r="E127" s="3" t="s">
        <v>343</v>
      </c>
      <c r="F127" s="3" t="s">
        <v>344</v>
      </c>
      <c r="G127" s="9">
        <v>3340</v>
      </c>
      <c r="H127" s="3" t="s">
        <v>21</v>
      </c>
      <c r="I127" s="4">
        <v>45502</v>
      </c>
      <c r="J127" t="s">
        <v>37</v>
      </c>
      <c r="K127" s="3" t="s">
        <v>23</v>
      </c>
      <c r="L127" s="3" t="s">
        <v>23</v>
      </c>
      <c r="P127" s="3" t="s">
        <v>24</v>
      </c>
      <c r="Q127" t="s">
        <v>345</v>
      </c>
    </row>
    <row r="128" spans="1:17" x14ac:dyDescent="0.25">
      <c r="A128" s="5">
        <v>5136</v>
      </c>
      <c r="B128" s="3" t="s">
        <v>334</v>
      </c>
      <c r="C128" s="3" t="s">
        <v>184</v>
      </c>
      <c r="D128" s="3" t="s">
        <v>114</v>
      </c>
      <c r="F128" s="3" t="s">
        <v>114</v>
      </c>
      <c r="G128" s="9">
        <v>3000</v>
      </c>
      <c r="H128" s="3" t="s">
        <v>21</v>
      </c>
      <c r="I128" s="4">
        <v>45503</v>
      </c>
      <c r="J128" t="s">
        <v>37</v>
      </c>
      <c r="K128" s="3" t="s">
        <v>23</v>
      </c>
      <c r="L128" s="3" t="s">
        <v>23</v>
      </c>
      <c r="P128" s="3" t="s">
        <v>24</v>
      </c>
      <c r="Q128" t="s">
        <v>346</v>
      </c>
    </row>
    <row r="129" spans="1:17" x14ac:dyDescent="0.25">
      <c r="A129" s="5">
        <v>5137</v>
      </c>
      <c r="B129" s="3" t="s">
        <v>190</v>
      </c>
      <c r="C129" s="3" t="s">
        <v>40</v>
      </c>
      <c r="D129" s="3" t="s">
        <v>58</v>
      </c>
      <c r="E129" s="3" t="s">
        <v>347</v>
      </c>
      <c r="F129" s="3" t="s">
        <v>348</v>
      </c>
      <c r="G129" s="9">
        <v>2990</v>
      </c>
      <c r="H129" s="3" t="s">
        <v>21</v>
      </c>
      <c r="I129" s="4">
        <v>45508</v>
      </c>
      <c r="J129" t="s">
        <v>22</v>
      </c>
      <c r="K129" s="3" t="s">
        <v>23</v>
      </c>
      <c r="L129" s="3" t="s">
        <v>23</v>
      </c>
      <c r="P129" s="3" t="s">
        <v>24</v>
      </c>
      <c r="Q129" t="s">
        <v>349</v>
      </c>
    </row>
    <row r="130" spans="1:17" x14ac:dyDescent="0.25">
      <c r="A130" s="5">
        <v>5138</v>
      </c>
      <c r="B130" s="3" t="s">
        <v>159</v>
      </c>
      <c r="C130" s="3" t="s">
        <v>40</v>
      </c>
      <c r="D130" s="3" t="s">
        <v>156</v>
      </c>
      <c r="E130" s="3" t="s">
        <v>350</v>
      </c>
      <c r="F130" s="3" t="s">
        <v>351</v>
      </c>
      <c r="G130" s="9">
        <v>900</v>
      </c>
      <c r="H130" s="3" t="s">
        <v>21</v>
      </c>
      <c r="I130" s="4">
        <v>45508</v>
      </c>
      <c r="J130" t="s">
        <v>22</v>
      </c>
      <c r="K130" s="3" t="s">
        <v>23</v>
      </c>
      <c r="L130" s="3" t="s">
        <v>23</v>
      </c>
      <c r="P130" s="3" t="s">
        <v>24</v>
      </c>
    </row>
    <row r="131" spans="1:17" x14ac:dyDescent="0.25">
      <c r="A131" s="5">
        <v>5139</v>
      </c>
      <c r="B131" s="3" t="s">
        <v>169</v>
      </c>
      <c r="C131" s="3" t="s">
        <v>184</v>
      </c>
      <c r="D131" s="3" t="s">
        <v>50</v>
      </c>
      <c r="E131" s="3" t="s">
        <v>352</v>
      </c>
      <c r="F131" s="3" t="s">
        <v>353</v>
      </c>
      <c r="G131" s="9">
        <v>550</v>
      </c>
      <c r="H131" s="3" t="s">
        <v>21</v>
      </c>
      <c r="I131" s="4">
        <v>45513</v>
      </c>
      <c r="J131" t="s">
        <v>22</v>
      </c>
      <c r="K131" s="3" t="s">
        <v>23</v>
      </c>
      <c r="L131" s="3" t="s">
        <v>23</v>
      </c>
      <c r="P131" s="3" t="s">
        <v>24</v>
      </c>
      <c r="Q131" t="s">
        <v>354</v>
      </c>
    </row>
    <row r="132" spans="1:17" x14ac:dyDescent="0.25">
      <c r="A132" s="5">
        <v>5177</v>
      </c>
      <c r="B132" s="5" t="s">
        <v>76</v>
      </c>
      <c r="C132" s="3" t="s">
        <v>18</v>
      </c>
      <c r="D132" s="3" t="s">
        <v>81</v>
      </c>
      <c r="E132" s="3" t="s">
        <v>355</v>
      </c>
      <c r="F132" s="3" t="s">
        <v>356</v>
      </c>
      <c r="G132" s="9">
        <v>1500</v>
      </c>
      <c r="H132" s="3" t="s">
        <v>21</v>
      </c>
      <c r="I132" s="4">
        <v>45519</v>
      </c>
      <c r="J132" t="s">
        <v>37</v>
      </c>
      <c r="K132" s="3" t="s">
        <v>23</v>
      </c>
      <c r="L132" s="3" t="s">
        <v>23</v>
      </c>
      <c r="M132" s="3" t="s">
        <v>271</v>
      </c>
      <c r="N132" s="3"/>
      <c r="O132" s="3"/>
      <c r="P132" s="3" t="s">
        <v>24</v>
      </c>
      <c r="Q132" t="s">
        <v>357</v>
      </c>
    </row>
    <row r="133" spans="1:17" x14ac:dyDescent="0.25">
      <c r="A133" s="5">
        <v>5178</v>
      </c>
      <c r="B133" s="5" t="s">
        <v>76</v>
      </c>
      <c r="C133" s="3" t="s">
        <v>40</v>
      </c>
      <c r="D133" s="3" t="s">
        <v>108</v>
      </c>
      <c r="E133" s="3" t="s">
        <v>358</v>
      </c>
      <c r="F133" s="3" t="s">
        <v>359</v>
      </c>
      <c r="G133" s="9">
        <v>11900</v>
      </c>
      <c r="H133" s="3" t="s">
        <v>21</v>
      </c>
      <c r="I133" s="4">
        <v>45523</v>
      </c>
      <c r="J133" t="s">
        <v>37</v>
      </c>
      <c r="K133" s="3" t="s">
        <v>23</v>
      </c>
      <c r="L133" s="3" t="s">
        <v>23</v>
      </c>
      <c r="M133" s="3" t="s">
        <v>271</v>
      </c>
      <c r="N133" s="3"/>
      <c r="O133" s="3"/>
      <c r="P133" s="3" t="s">
        <v>24</v>
      </c>
      <c r="Q133" t="s">
        <v>360</v>
      </c>
    </row>
    <row r="134" spans="1:17" x14ac:dyDescent="0.25">
      <c r="A134" s="5">
        <v>5179</v>
      </c>
      <c r="B134" s="5" t="s">
        <v>361</v>
      </c>
      <c r="C134" s="3" t="s">
        <v>239</v>
      </c>
      <c r="D134" s="3" t="s">
        <v>64</v>
      </c>
      <c r="E134" s="3" t="s">
        <v>362</v>
      </c>
      <c r="F134" s="3" t="s">
        <v>363</v>
      </c>
      <c r="G134" s="9">
        <v>1300</v>
      </c>
      <c r="H134" s="3" t="s">
        <v>21</v>
      </c>
      <c r="I134" s="4">
        <v>45523</v>
      </c>
      <c r="J134" t="s">
        <v>22</v>
      </c>
      <c r="K134" s="3" t="s">
        <v>23</v>
      </c>
      <c r="L134" s="3" t="s">
        <v>23</v>
      </c>
      <c r="P134" s="3" t="s">
        <v>24</v>
      </c>
      <c r="Q134" t="s">
        <v>364</v>
      </c>
    </row>
    <row r="135" spans="1:17" x14ac:dyDescent="0.25">
      <c r="A135" s="5">
        <v>5180</v>
      </c>
      <c r="B135" s="5" t="s">
        <v>169</v>
      </c>
      <c r="C135" s="3" t="s">
        <v>40</v>
      </c>
      <c r="D135" s="3" t="s">
        <v>50</v>
      </c>
      <c r="E135" s="3" t="s">
        <v>365</v>
      </c>
      <c r="F135" s="3" t="s">
        <v>366</v>
      </c>
      <c r="G135" s="9">
        <v>3360</v>
      </c>
      <c r="H135" s="3" t="s">
        <v>21</v>
      </c>
      <c r="I135" s="4">
        <v>45523</v>
      </c>
      <c r="J135" t="s">
        <v>22</v>
      </c>
      <c r="K135" s="3" t="s">
        <v>23</v>
      </c>
      <c r="L135" s="3" t="s">
        <v>23</v>
      </c>
      <c r="P135" s="3" t="s">
        <v>24</v>
      </c>
      <c r="Q135" t="s">
        <v>367</v>
      </c>
    </row>
    <row r="136" spans="1:17" x14ac:dyDescent="0.25">
      <c r="A136" s="5">
        <v>5181</v>
      </c>
      <c r="B136" s="5" t="s">
        <v>63</v>
      </c>
      <c r="C136" s="3" t="s">
        <v>184</v>
      </c>
      <c r="D136" s="3" t="s">
        <v>144</v>
      </c>
      <c r="E136" s="3">
        <v>21115</v>
      </c>
      <c r="F136" s="3" t="s">
        <v>368</v>
      </c>
      <c r="G136" s="9">
        <v>3750</v>
      </c>
      <c r="H136" s="3" t="s">
        <v>21</v>
      </c>
      <c r="I136" s="4">
        <v>45535</v>
      </c>
      <c r="J136" t="s">
        <v>37</v>
      </c>
      <c r="K136" s="3" t="s">
        <v>23</v>
      </c>
      <c r="L136" s="3" t="s">
        <v>23</v>
      </c>
      <c r="M136" s="3"/>
      <c r="N136" s="3"/>
      <c r="O136" s="3"/>
      <c r="P136" s="3" t="s">
        <v>24</v>
      </c>
      <c r="Q136" t="s">
        <v>369</v>
      </c>
    </row>
    <row r="137" spans="1:17" x14ac:dyDescent="0.25">
      <c r="A137" s="5">
        <v>5182</v>
      </c>
      <c r="B137" s="5" t="s">
        <v>39</v>
      </c>
      <c r="C137" s="3" t="s">
        <v>40</v>
      </c>
      <c r="D137" s="3" t="s">
        <v>41</v>
      </c>
      <c r="E137" s="3" t="s">
        <v>370</v>
      </c>
      <c r="F137" s="3" t="s">
        <v>371</v>
      </c>
      <c r="G137" s="9">
        <v>1090</v>
      </c>
      <c r="H137" s="3" t="s">
        <v>21</v>
      </c>
      <c r="I137" s="4">
        <v>45536</v>
      </c>
      <c r="J137" t="s">
        <v>22</v>
      </c>
      <c r="K137" s="3" t="s">
        <v>23</v>
      </c>
      <c r="L137" s="3" t="s">
        <v>23</v>
      </c>
      <c r="P137" s="3" t="s">
        <v>24</v>
      </c>
      <c r="Q137" t="s">
        <v>372</v>
      </c>
    </row>
    <row r="138" spans="1:17" x14ac:dyDescent="0.25">
      <c r="A138" s="5">
        <v>5183</v>
      </c>
      <c r="B138" s="5" t="s">
        <v>169</v>
      </c>
      <c r="C138" s="3" t="s">
        <v>40</v>
      </c>
      <c r="D138" s="3" t="s">
        <v>50</v>
      </c>
      <c r="E138" s="3" t="s">
        <v>373</v>
      </c>
      <c r="F138" s="3" t="s">
        <v>374</v>
      </c>
      <c r="G138" s="9">
        <v>1580</v>
      </c>
      <c r="H138" s="3" t="s">
        <v>21</v>
      </c>
      <c r="I138" s="4">
        <v>45536</v>
      </c>
      <c r="J138" t="s">
        <v>22</v>
      </c>
      <c r="K138" s="3" t="s">
        <v>23</v>
      </c>
      <c r="L138" s="3" t="s">
        <v>23</v>
      </c>
      <c r="M138" s="3"/>
      <c r="N138" s="3"/>
      <c r="O138" s="3"/>
      <c r="P138" s="3" t="s">
        <v>24</v>
      </c>
      <c r="Q138" t="s">
        <v>375</v>
      </c>
    </row>
    <row r="139" spans="1:17" x14ac:dyDescent="0.25">
      <c r="A139" s="5">
        <v>5184</v>
      </c>
      <c r="B139" s="5" t="s">
        <v>63</v>
      </c>
      <c r="C139" s="3" t="s">
        <v>18</v>
      </c>
      <c r="D139" s="3" t="s">
        <v>108</v>
      </c>
      <c r="E139" s="3">
        <v>21171</v>
      </c>
      <c r="F139" s="3" t="s">
        <v>376</v>
      </c>
      <c r="G139" s="9">
        <v>5200</v>
      </c>
      <c r="H139" s="3" t="s">
        <v>21</v>
      </c>
      <c r="I139" s="4">
        <v>45543</v>
      </c>
      <c r="J139" t="s">
        <v>37</v>
      </c>
      <c r="K139" s="3" t="s">
        <v>23</v>
      </c>
      <c r="L139" s="3" t="s">
        <v>23</v>
      </c>
      <c r="M139" s="3" t="s">
        <v>271</v>
      </c>
      <c r="N139" s="3"/>
      <c r="O139" s="3"/>
      <c r="P139" s="3" t="s">
        <v>24</v>
      </c>
      <c r="Q139" t="s">
        <v>377</v>
      </c>
    </row>
    <row r="140" spans="1:17" x14ac:dyDescent="0.25">
      <c r="A140" s="5">
        <v>5185</v>
      </c>
      <c r="B140" s="5" t="s">
        <v>169</v>
      </c>
      <c r="C140" s="3" t="s">
        <v>40</v>
      </c>
      <c r="D140" s="3" t="s">
        <v>50</v>
      </c>
      <c r="E140" s="3" t="s">
        <v>378</v>
      </c>
      <c r="F140" s="3" t="s">
        <v>379</v>
      </c>
      <c r="G140" s="9">
        <v>3700</v>
      </c>
      <c r="H140" s="3" t="s">
        <v>21</v>
      </c>
      <c r="I140" s="4">
        <v>45543</v>
      </c>
      <c r="J140" t="s">
        <v>37</v>
      </c>
      <c r="K140" s="3" t="s">
        <v>23</v>
      </c>
      <c r="L140" s="3" t="s">
        <v>23</v>
      </c>
      <c r="M140" s="3" t="s">
        <v>271</v>
      </c>
      <c r="N140" s="3"/>
      <c r="O140" s="3"/>
      <c r="P140" s="3" t="s">
        <v>24</v>
      </c>
      <c r="Q140" t="s">
        <v>380</v>
      </c>
    </row>
    <row r="141" spans="1:17" x14ac:dyDescent="0.25">
      <c r="A141" s="5">
        <v>5186</v>
      </c>
      <c r="B141" s="5" t="s">
        <v>169</v>
      </c>
      <c r="C141" s="3" t="s">
        <v>40</v>
      </c>
      <c r="D141" s="3" t="s">
        <v>50</v>
      </c>
      <c r="E141" s="3" t="s">
        <v>381</v>
      </c>
      <c r="F141" s="3" t="s">
        <v>382</v>
      </c>
      <c r="G141" s="9">
        <v>2400</v>
      </c>
      <c r="H141" s="3" t="s">
        <v>21</v>
      </c>
      <c r="I141" s="4">
        <v>45543</v>
      </c>
      <c r="J141" t="s">
        <v>37</v>
      </c>
      <c r="K141" s="3" t="s">
        <v>23</v>
      </c>
      <c r="L141" s="3" t="s">
        <v>23</v>
      </c>
      <c r="M141" s="3"/>
      <c r="N141" s="3"/>
      <c r="O141" s="3"/>
      <c r="P141" s="3" t="s">
        <v>24</v>
      </c>
      <c r="Q141" t="s">
        <v>383</v>
      </c>
    </row>
    <row r="142" spans="1:17" x14ac:dyDescent="0.25">
      <c r="A142" s="5">
        <v>5204</v>
      </c>
      <c r="B142" s="5" t="s">
        <v>190</v>
      </c>
      <c r="C142" s="3" t="s">
        <v>184</v>
      </c>
      <c r="D142" s="3" t="s">
        <v>58</v>
      </c>
      <c r="E142" s="3" t="s">
        <v>384</v>
      </c>
      <c r="F142" s="3" t="s">
        <v>385</v>
      </c>
      <c r="G142" s="9">
        <v>550</v>
      </c>
      <c r="H142" s="3" t="s">
        <v>21</v>
      </c>
      <c r="I142" s="4">
        <v>45544</v>
      </c>
      <c r="J142" t="s">
        <v>22</v>
      </c>
      <c r="K142" s="3" t="s">
        <v>23</v>
      </c>
      <c r="L142" s="3" t="s">
        <v>23</v>
      </c>
      <c r="P142" s="3" t="s">
        <v>24</v>
      </c>
      <c r="Q142" t="s">
        <v>386</v>
      </c>
    </row>
    <row r="143" spans="1:17" x14ac:dyDescent="0.25">
      <c r="A143" s="5">
        <v>5205</v>
      </c>
      <c r="B143" s="5" t="s">
        <v>169</v>
      </c>
      <c r="C143" s="3" t="s">
        <v>40</v>
      </c>
      <c r="D143" s="3" t="s">
        <v>50</v>
      </c>
      <c r="E143" s="3" t="s">
        <v>387</v>
      </c>
      <c r="F143" s="3" t="s">
        <v>219</v>
      </c>
      <c r="G143" s="9">
        <v>395</v>
      </c>
      <c r="H143" s="3" t="s">
        <v>21</v>
      </c>
      <c r="I143" s="4">
        <v>45544</v>
      </c>
      <c r="J143" t="s">
        <v>22</v>
      </c>
      <c r="K143" s="3" t="s">
        <v>23</v>
      </c>
      <c r="L143" s="3" t="s">
        <v>23</v>
      </c>
      <c r="P143" s="3" t="s">
        <v>24</v>
      </c>
      <c r="Q143" t="s">
        <v>388</v>
      </c>
    </row>
    <row r="144" spans="1:17" x14ac:dyDescent="0.25">
      <c r="A144" s="5">
        <v>5206</v>
      </c>
      <c r="B144" s="5" t="s">
        <v>68</v>
      </c>
      <c r="C144" s="3" t="s">
        <v>40</v>
      </c>
      <c r="D144" s="3" t="s">
        <v>50</v>
      </c>
      <c r="E144" s="3" t="s">
        <v>389</v>
      </c>
      <c r="F144" s="3" t="s">
        <v>390</v>
      </c>
      <c r="G144" s="9">
        <v>4400</v>
      </c>
      <c r="H144" s="3" t="s">
        <v>21</v>
      </c>
      <c r="I144" s="4">
        <v>45546</v>
      </c>
      <c r="J144" t="s">
        <v>22</v>
      </c>
      <c r="K144" s="3" t="s">
        <v>23</v>
      </c>
      <c r="L144" s="3" t="s">
        <v>23</v>
      </c>
      <c r="P144" s="3" t="s">
        <v>24</v>
      </c>
      <c r="Q144" t="s">
        <v>391</v>
      </c>
    </row>
    <row r="145" spans="1:17" x14ac:dyDescent="0.25">
      <c r="A145" s="5">
        <v>5207</v>
      </c>
      <c r="B145" s="3" t="s">
        <v>17</v>
      </c>
      <c r="C145" s="3" t="s">
        <v>184</v>
      </c>
      <c r="D145" s="3" t="s">
        <v>19</v>
      </c>
      <c r="E145" s="3" t="s">
        <v>392</v>
      </c>
      <c r="F145" s="3" t="s">
        <v>393</v>
      </c>
      <c r="G145" s="9">
        <v>1200</v>
      </c>
      <c r="H145" s="3" t="s">
        <v>21</v>
      </c>
      <c r="I145" s="4">
        <v>45547</v>
      </c>
      <c r="J145" t="s">
        <v>22</v>
      </c>
      <c r="K145" s="3" t="s">
        <v>23</v>
      </c>
      <c r="L145" s="3" t="s">
        <v>23</v>
      </c>
      <c r="P145" s="3" t="s">
        <v>24</v>
      </c>
      <c r="Q145" t="s">
        <v>394</v>
      </c>
    </row>
    <row r="146" spans="1:17" x14ac:dyDescent="0.25">
      <c r="A146" s="5">
        <v>5208</v>
      </c>
      <c r="B146" s="3" t="s">
        <v>17</v>
      </c>
      <c r="C146" s="3" t="s">
        <v>184</v>
      </c>
      <c r="D146" s="3" t="s">
        <v>35</v>
      </c>
      <c r="E146" s="3" t="s">
        <v>395</v>
      </c>
      <c r="F146" s="3" t="s">
        <v>396</v>
      </c>
      <c r="G146" s="9">
        <v>1400</v>
      </c>
      <c r="H146" s="3" t="s">
        <v>21</v>
      </c>
      <c r="I146" s="4">
        <v>45547</v>
      </c>
      <c r="J146" t="s">
        <v>22</v>
      </c>
      <c r="K146" s="3" t="s">
        <v>23</v>
      </c>
      <c r="L146" s="3" t="s">
        <v>23</v>
      </c>
      <c r="P146" s="3" t="s">
        <v>24</v>
      </c>
      <c r="Q146" t="s">
        <v>397</v>
      </c>
    </row>
    <row r="147" spans="1:17" x14ac:dyDescent="0.25">
      <c r="A147" s="5">
        <v>5209</v>
      </c>
      <c r="B147" s="3" t="s">
        <v>17</v>
      </c>
      <c r="C147" s="3" t="s">
        <v>40</v>
      </c>
      <c r="D147" s="3" t="s">
        <v>19</v>
      </c>
      <c r="E147" s="3" t="s">
        <v>398</v>
      </c>
      <c r="F147" s="3" t="s">
        <v>399</v>
      </c>
      <c r="G147" s="9">
        <v>600</v>
      </c>
      <c r="H147" s="3" t="s">
        <v>21</v>
      </c>
      <c r="I147" s="4">
        <v>45547</v>
      </c>
      <c r="J147" t="s">
        <v>22</v>
      </c>
      <c r="K147" s="3" t="s">
        <v>23</v>
      </c>
      <c r="L147" s="3" t="s">
        <v>23</v>
      </c>
      <c r="P147" s="3" t="s">
        <v>24</v>
      </c>
      <c r="Q147" t="s">
        <v>400</v>
      </c>
    </row>
    <row r="148" spans="1:17" x14ac:dyDescent="0.25">
      <c r="A148" s="5">
        <v>5210</v>
      </c>
      <c r="B148" s="3" t="s">
        <v>17</v>
      </c>
      <c r="C148" s="3" t="s">
        <v>34</v>
      </c>
      <c r="D148" s="3" t="s">
        <v>19</v>
      </c>
      <c r="E148" s="3" t="s">
        <v>401</v>
      </c>
      <c r="F148" s="3" t="s">
        <v>402</v>
      </c>
      <c r="G148" s="9">
        <v>650</v>
      </c>
      <c r="H148" s="3" t="s">
        <v>21</v>
      </c>
      <c r="I148" s="4">
        <v>45547</v>
      </c>
      <c r="J148" t="s">
        <v>22</v>
      </c>
      <c r="K148" s="3" t="s">
        <v>23</v>
      </c>
      <c r="L148" s="3" t="s">
        <v>23</v>
      </c>
      <c r="P148" s="3" t="s">
        <v>24</v>
      </c>
      <c r="Q148" t="s">
        <v>403</v>
      </c>
    </row>
    <row r="149" spans="1:17" x14ac:dyDescent="0.25">
      <c r="A149" s="5">
        <v>5211</v>
      </c>
      <c r="B149" s="3" t="s">
        <v>17</v>
      </c>
      <c r="C149" s="3" t="s">
        <v>197</v>
      </c>
      <c r="D149" s="3" t="s">
        <v>19</v>
      </c>
      <c r="E149" s="3" t="s">
        <v>404</v>
      </c>
      <c r="F149" s="3" t="s">
        <v>405</v>
      </c>
      <c r="G149" s="9">
        <v>240</v>
      </c>
      <c r="H149" s="3" t="s">
        <v>21</v>
      </c>
      <c r="I149" s="4">
        <v>45547</v>
      </c>
      <c r="J149" t="s">
        <v>22</v>
      </c>
      <c r="K149" s="3" t="s">
        <v>23</v>
      </c>
      <c r="L149" s="3" t="s">
        <v>23</v>
      </c>
      <c r="P149" s="3" t="s">
        <v>24</v>
      </c>
      <c r="Q149" t="s">
        <v>406</v>
      </c>
    </row>
    <row r="150" spans="1:17" x14ac:dyDescent="0.25">
      <c r="A150" s="5">
        <v>5212</v>
      </c>
      <c r="B150" s="3" t="s">
        <v>190</v>
      </c>
      <c r="C150" s="3" t="s">
        <v>40</v>
      </c>
      <c r="D150" s="3" t="s">
        <v>58</v>
      </c>
      <c r="E150" s="3" t="s">
        <v>407</v>
      </c>
      <c r="F150" s="3" t="s">
        <v>408</v>
      </c>
      <c r="G150" s="9">
        <v>1600</v>
      </c>
      <c r="H150" s="3" t="s">
        <v>21</v>
      </c>
      <c r="I150" s="4">
        <v>45551</v>
      </c>
      <c r="J150" t="s">
        <v>22</v>
      </c>
      <c r="K150" s="3" t="s">
        <v>23</v>
      </c>
      <c r="L150" s="3" t="s">
        <v>23</v>
      </c>
      <c r="P150" s="3" t="s">
        <v>24</v>
      </c>
      <c r="Q150" t="s">
        <v>409</v>
      </c>
    </row>
    <row r="151" spans="1:17" x14ac:dyDescent="0.25">
      <c r="A151" s="5">
        <v>5213</v>
      </c>
      <c r="B151" s="3" t="s">
        <v>107</v>
      </c>
      <c r="C151" s="3" t="s">
        <v>40</v>
      </c>
      <c r="D151" s="3" t="s">
        <v>108</v>
      </c>
      <c r="E151" s="3" t="s">
        <v>410</v>
      </c>
      <c r="F151" s="3" t="s">
        <v>411</v>
      </c>
      <c r="G151" s="9">
        <v>5575</v>
      </c>
      <c r="H151" s="3" t="s">
        <v>21</v>
      </c>
      <c r="I151" s="4">
        <v>45551</v>
      </c>
      <c r="J151" t="s">
        <v>37</v>
      </c>
      <c r="K151" s="3" t="s">
        <v>23</v>
      </c>
      <c r="L151" s="3" t="s">
        <v>23</v>
      </c>
      <c r="M151" s="3"/>
      <c r="N151" s="3"/>
      <c r="O151" s="3"/>
      <c r="P151" s="3" t="s">
        <v>24</v>
      </c>
      <c r="Q151" t="s">
        <v>412</v>
      </c>
    </row>
    <row r="152" spans="1:17" x14ac:dyDescent="0.25">
      <c r="A152" s="5">
        <v>5215</v>
      </c>
      <c r="B152" s="3" t="s">
        <v>17</v>
      </c>
      <c r="C152" s="3" t="s">
        <v>40</v>
      </c>
      <c r="D152" s="3" t="s">
        <v>19</v>
      </c>
      <c r="E152" s="3" t="s">
        <v>413</v>
      </c>
      <c r="F152" s="3" t="s">
        <v>219</v>
      </c>
      <c r="G152" s="9">
        <v>2400</v>
      </c>
      <c r="H152" s="3" t="s">
        <v>21</v>
      </c>
      <c r="I152" s="4">
        <v>45557</v>
      </c>
      <c r="J152" t="s">
        <v>22</v>
      </c>
      <c r="K152" s="3" t="s">
        <v>23</v>
      </c>
      <c r="L152" s="3" t="s">
        <v>23</v>
      </c>
      <c r="P152" s="3" t="s">
        <v>24</v>
      </c>
      <c r="Q152" t="s">
        <v>414</v>
      </c>
    </row>
    <row r="153" spans="1:17" x14ac:dyDescent="0.25">
      <c r="A153" s="5">
        <v>5216</v>
      </c>
      <c r="B153" s="3" t="s">
        <v>17</v>
      </c>
      <c r="C153" s="3" t="s">
        <v>184</v>
      </c>
      <c r="D153" s="3" t="s">
        <v>19</v>
      </c>
      <c r="E153" s="3" t="s">
        <v>415</v>
      </c>
      <c r="F153" s="3" t="s">
        <v>416</v>
      </c>
      <c r="G153" s="9">
        <v>1030</v>
      </c>
      <c r="H153" s="3" t="s">
        <v>21</v>
      </c>
      <c r="I153" s="4">
        <v>45557</v>
      </c>
      <c r="J153" t="s">
        <v>22</v>
      </c>
      <c r="K153" s="3" t="s">
        <v>23</v>
      </c>
      <c r="L153" s="3" t="s">
        <v>23</v>
      </c>
      <c r="P153" s="3" t="s">
        <v>24</v>
      </c>
      <c r="Q153" t="s">
        <v>417</v>
      </c>
    </row>
    <row r="154" spans="1:17" x14ac:dyDescent="0.25">
      <c r="A154" s="5">
        <v>5217</v>
      </c>
      <c r="B154" s="3" t="s">
        <v>17</v>
      </c>
      <c r="C154" s="3" t="s">
        <v>31</v>
      </c>
      <c r="D154" s="3" t="s">
        <v>19</v>
      </c>
      <c r="E154" s="3" t="s">
        <v>418</v>
      </c>
      <c r="F154" s="3" t="s">
        <v>419</v>
      </c>
      <c r="G154" s="9">
        <v>550</v>
      </c>
      <c r="H154" s="3" t="s">
        <v>21</v>
      </c>
      <c r="I154" s="4">
        <v>45557</v>
      </c>
      <c r="J154" t="s">
        <v>22</v>
      </c>
      <c r="K154" s="3" t="s">
        <v>23</v>
      </c>
      <c r="L154" s="3" t="s">
        <v>23</v>
      </c>
      <c r="P154" s="3" t="s">
        <v>24</v>
      </c>
      <c r="Q154" t="s">
        <v>420</v>
      </c>
    </row>
    <row r="155" spans="1:17" x14ac:dyDescent="0.25">
      <c r="A155" s="5">
        <v>5218</v>
      </c>
      <c r="B155" s="3" t="s">
        <v>17</v>
      </c>
      <c r="C155" s="3" t="s">
        <v>197</v>
      </c>
      <c r="D155" s="3" t="s">
        <v>19</v>
      </c>
      <c r="E155" s="3" t="s">
        <v>421</v>
      </c>
      <c r="F155" s="3" t="s">
        <v>422</v>
      </c>
      <c r="G155" s="9">
        <v>480</v>
      </c>
      <c r="H155" s="3" t="s">
        <v>21</v>
      </c>
      <c r="I155" s="4">
        <v>45557</v>
      </c>
      <c r="J155" t="s">
        <v>22</v>
      </c>
      <c r="K155" s="3" t="s">
        <v>23</v>
      </c>
      <c r="L155" s="3" t="s">
        <v>23</v>
      </c>
      <c r="P155" s="3" t="s">
        <v>24</v>
      </c>
      <c r="Q155" t="s">
        <v>423</v>
      </c>
    </row>
    <row r="156" spans="1:17" x14ac:dyDescent="0.25">
      <c r="A156" s="5">
        <v>5219</v>
      </c>
      <c r="B156" s="3" t="s">
        <v>17</v>
      </c>
      <c r="C156" s="3" t="s">
        <v>184</v>
      </c>
      <c r="D156" s="3" t="s">
        <v>35</v>
      </c>
      <c r="E156" s="3" t="s">
        <v>424</v>
      </c>
      <c r="F156" s="3" t="s">
        <v>425</v>
      </c>
      <c r="G156" s="9">
        <v>555</v>
      </c>
      <c r="H156" s="3" t="s">
        <v>21</v>
      </c>
      <c r="I156" s="4">
        <v>45557</v>
      </c>
      <c r="J156" t="s">
        <v>22</v>
      </c>
      <c r="K156" s="3" t="s">
        <v>23</v>
      </c>
      <c r="L156" s="3" t="s">
        <v>23</v>
      </c>
      <c r="P156" s="3" t="s">
        <v>24</v>
      </c>
      <c r="Q156" t="s">
        <v>426</v>
      </c>
    </row>
    <row r="157" spans="1:17" x14ac:dyDescent="0.25">
      <c r="A157" s="5">
        <v>5222</v>
      </c>
      <c r="B157" s="3" t="s">
        <v>169</v>
      </c>
      <c r="C157" s="3" t="s">
        <v>40</v>
      </c>
      <c r="D157" s="3" t="s">
        <v>50</v>
      </c>
      <c r="E157" s="3" t="s">
        <v>427</v>
      </c>
      <c r="F157" s="3" t="s">
        <v>428</v>
      </c>
      <c r="G157" s="9">
        <v>600</v>
      </c>
      <c r="H157" s="3" t="s">
        <v>21</v>
      </c>
      <c r="I157" s="4">
        <v>45560</v>
      </c>
      <c r="J157" t="s">
        <v>22</v>
      </c>
      <c r="K157" s="3" t="s">
        <v>23</v>
      </c>
      <c r="L157" s="3" t="s">
        <v>23</v>
      </c>
      <c r="P157" s="3" t="s">
        <v>24</v>
      </c>
      <c r="Q157" t="s">
        <v>429</v>
      </c>
    </row>
    <row r="158" spans="1:17" x14ac:dyDescent="0.25">
      <c r="A158" s="5">
        <v>5223</v>
      </c>
      <c r="B158" s="3" t="s">
        <v>17</v>
      </c>
      <c r="C158" s="3" t="s">
        <v>18</v>
      </c>
      <c r="D158" s="3" t="s">
        <v>19</v>
      </c>
      <c r="E158" s="3" t="s">
        <v>430</v>
      </c>
      <c r="F158" s="3" t="s">
        <v>405</v>
      </c>
      <c r="G158" s="9">
        <v>120</v>
      </c>
      <c r="H158" s="3" t="s">
        <v>21</v>
      </c>
      <c r="I158" s="4">
        <v>45560</v>
      </c>
      <c r="J158" t="s">
        <v>22</v>
      </c>
      <c r="K158" s="3" t="s">
        <v>23</v>
      </c>
      <c r="L158" s="3" t="s">
        <v>23</v>
      </c>
      <c r="P158" s="3" t="s">
        <v>24</v>
      </c>
      <c r="Q158" t="s">
        <v>431</v>
      </c>
    </row>
    <row r="159" spans="1:17" x14ac:dyDescent="0.25">
      <c r="A159" s="5">
        <v>5224</v>
      </c>
      <c r="B159" s="3" t="s">
        <v>17</v>
      </c>
      <c r="C159" s="3" t="s">
        <v>40</v>
      </c>
      <c r="D159" s="3" t="s">
        <v>19</v>
      </c>
      <c r="E159" s="3" t="s">
        <v>432</v>
      </c>
      <c r="F159" s="3" t="s">
        <v>405</v>
      </c>
      <c r="G159" s="9">
        <v>120</v>
      </c>
      <c r="H159" s="3" t="s">
        <v>21</v>
      </c>
      <c r="I159" s="4">
        <v>45560</v>
      </c>
      <c r="J159" t="s">
        <v>22</v>
      </c>
      <c r="K159" s="3" t="s">
        <v>23</v>
      </c>
      <c r="L159" s="3" t="s">
        <v>23</v>
      </c>
      <c r="P159" s="3" t="s">
        <v>24</v>
      </c>
      <c r="Q159" t="s">
        <v>433</v>
      </c>
    </row>
    <row r="160" spans="1:17" x14ac:dyDescent="0.25">
      <c r="A160" s="5">
        <v>5225</v>
      </c>
      <c r="B160" s="3" t="s">
        <v>17</v>
      </c>
      <c r="C160" s="3" t="s">
        <v>184</v>
      </c>
      <c r="D160" s="3" t="s">
        <v>35</v>
      </c>
      <c r="E160" s="3" t="s">
        <v>434</v>
      </c>
      <c r="F160" s="3" t="s">
        <v>435</v>
      </c>
      <c r="G160" s="9">
        <v>1070</v>
      </c>
      <c r="H160" s="3" t="s">
        <v>21</v>
      </c>
      <c r="I160" s="4">
        <v>45560</v>
      </c>
      <c r="J160" t="s">
        <v>22</v>
      </c>
      <c r="K160" s="3" t="s">
        <v>23</v>
      </c>
      <c r="L160" s="3" t="s">
        <v>23</v>
      </c>
      <c r="P160" s="3" t="s">
        <v>24</v>
      </c>
      <c r="Q160" t="s">
        <v>436</v>
      </c>
    </row>
    <row r="161" spans="1:17" x14ac:dyDescent="0.25">
      <c r="A161" s="5">
        <v>5226</v>
      </c>
      <c r="B161" s="3" t="s">
        <v>17</v>
      </c>
      <c r="C161" s="3" t="s">
        <v>31</v>
      </c>
      <c r="D161" s="3" t="s">
        <v>19</v>
      </c>
      <c r="E161" s="3" t="s">
        <v>437</v>
      </c>
      <c r="F161" s="3" t="s">
        <v>438</v>
      </c>
      <c r="G161" s="9">
        <v>2400</v>
      </c>
      <c r="H161" s="3" t="s">
        <v>21</v>
      </c>
      <c r="I161" s="4">
        <v>45560</v>
      </c>
      <c r="J161" t="s">
        <v>22</v>
      </c>
      <c r="K161" s="3" t="s">
        <v>23</v>
      </c>
      <c r="L161" s="3" t="s">
        <v>23</v>
      </c>
      <c r="P161" s="3" t="s">
        <v>24</v>
      </c>
      <c r="Q161" t="s">
        <v>439</v>
      </c>
    </row>
    <row r="162" spans="1:17" x14ac:dyDescent="0.25">
      <c r="A162" s="5">
        <v>5235</v>
      </c>
      <c r="B162" s="3" t="s">
        <v>169</v>
      </c>
      <c r="C162" s="3" t="s">
        <v>29</v>
      </c>
      <c r="D162" s="3" t="s">
        <v>50</v>
      </c>
      <c r="E162" s="3" t="s">
        <v>440</v>
      </c>
      <c r="F162" s="3" t="s">
        <v>441</v>
      </c>
      <c r="G162" s="9">
        <v>720</v>
      </c>
      <c r="H162" s="3" t="s">
        <v>21</v>
      </c>
      <c r="I162" s="4">
        <v>45560</v>
      </c>
      <c r="J162" t="s">
        <v>22</v>
      </c>
      <c r="K162" s="3" t="s">
        <v>23</v>
      </c>
      <c r="L162" s="3" t="s">
        <v>23</v>
      </c>
      <c r="P162" s="3" t="s">
        <v>24</v>
      </c>
      <c r="Q162" t="s">
        <v>442</v>
      </c>
    </row>
    <row r="163" spans="1:17" x14ac:dyDescent="0.25">
      <c r="A163" s="5">
        <v>5236</v>
      </c>
      <c r="B163" s="3" t="s">
        <v>443</v>
      </c>
      <c r="C163" s="3" t="s">
        <v>40</v>
      </c>
      <c r="D163" s="3" t="s">
        <v>108</v>
      </c>
      <c r="E163" s="3" t="s">
        <v>444</v>
      </c>
      <c r="F163" s="3" t="s">
        <v>445</v>
      </c>
      <c r="G163" s="9">
        <v>4800</v>
      </c>
      <c r="H163" s="3" t="s">
        <v>21</v>
      </c>
      <c r="I163" s="4">
        <v>45550</v>
      </c>
      <c r="J163" t="s">
        <v>446</v>
      </c>
      <c r="K163" s="3" t="s">
        <v>23</v>
      </c>
      <c r="L163" s="3" t="s">
        <v>23</v>
      </c>
      <c r="M163" s="3" t="s">
        <v>447</v>
      </c>
      <c r="N163" s="3"/>
      <c r="O163" s="3"/>
      <c r="P163" s="3" t="s">
        <v>24</v>
      </c>
      <c r="Q163" t="s">
        <v>448</v>
      </c>
    </row>
    <row r="164" spans="1:17" x14ac:dyDescent="0.25">
      <c r="A164" s="5">
        <v>5237</v>
      </c>
      <c r="B164" s="3" t="s">
        <v>63</v>
      </c>
      <c r="C164" s="3" t="s">
        <v>40</v>
      </c>
      <c r="D164" s="3" t="s">
        <v>64</v>
      </c>
      <c r="E164" s="3">
        <v>21186</v>
      </c>
      <c r="F164" s="3" t="s">
        <v>449</v>
      </c>
      <c r="G164" s="9">
        <v>3000</v>
      </c>
      <c r="H164" s="3" t="s">
        <v>21</v>
      </c>
      <c r="I164" s="4">
        <v>45581</v>
      </c>
      <c r="J164" t="s">
        <v>22</v>
      </c>
      <c r="K164" s="3" t="s">
        <v>23</v>
      </c>
      <c r="L164" s="3" t="s">
        <v>23</v>
      </c>
      <c r="P164" s="3" t="s">
        <v>24</v>
      </c>
      <c r="Q164" t="s">
        <v>450</v>
      </c>
    </row>
    <row r="165" spans="1:17" x14ac:dyDescent="0.25">
      <c r="A165" s="5">
        <v>5238</v>
      </c>
      <c r="B165" s="3" t="s">
        <v>39</v>
      </c>
      <c r="C165" s="3" t="s">
        <v>34</v>
      </c>
      <c r="D165" s="3" t="s">
        <v>41</v>
      </c>
      <c r="E165" s="3" t="s">
        <v>451</v>
      </c>
      <c r="F165" s="3" t="s">
        <v>452</v>
      </c>
      <c r="G165" s="9">
        <v>3450</v>
      </c>
      <c r="H165" s="3" t="s">
        <v>21</v>
      </c>
      <c r="I165" s="4">
        <v>45585</v>
      </c>
      <c r="J165" t="s">
        <v>22</v>
      </c>
      <c r="K165" s="3" t="s">
        <v>23</v>
      </c>
      <c r="L165" s="3" t="s">
        <v>23</v>
      </c>
      <c r="P165" s="3" t="s">
        <v>24</v>
      </c>
      <c r="Q165" t="s">
        <v>453</v>
      </c>
    </row>
    <row r="166" spans="1:17" x14ac:dyDescent="0.25">
      <c r="A166" s="5">
        <v>5239</v>
      </c>
      <c r="B166" s="3" t="s">
        <v>63</v>
      </c>
      <c r="C166" s="3" t="s">
        <v>40</v>
      </c>
      <c r="D166" s="3" t="s">
        <v>64</v>
      </c>
      <c r="E166" s="3">
        <v>21188</v>
      </c>
      <c r="F166" s="3" t="s">
        <v>454</v>
      </c>
      <c r="G166" s="9">
        <v>19500</v>
      </c>
      <c r="H166" s="3" t="s">
        <v>21</v>
      </c>
      <c r="I166" s="4">
        <v>45585</v>
      </c>
      <c r="J166" t="s">
        <v>90</v>
      </c>
      <c r="K166" s="3" t="s">
        <v>23</v>
      </c>
      <c r="L166" s="3" t="s">
        <v>23</v>
      </c>
      <c r="M166" s="3"/>
      <c r="N166" s="3"/>
      <c r="O166" s="3"/>
      <c r="P166" s="3" t="s">
        <v>24</v>
      </c>
      <c r="Q166" t="s">
        <v>455</v>
      </c>
    </row>
    <row r="167" spans="1:17" x14ac:dyDescent="0.25">
      <c r="A167" s="5">
        <v>5261</v>
      </c>
      <c r="B167" s="3" t="s">
        <v>17</v>
      </c>
      <c r="C167" s="3" t="s">
        <v>184</v>
      </c>
      <c r="D167" s="3" t="s">
        <v>19</v>
      </c>
      <c r="E167" s="3" t="s">
        <v>456</v>
      </c>
      <c r="F167" s="3" t="s">
        <v>457</v>
      </c>
      <c r="G167" s="9">
        <v>240</v>
      </c>
      <c r="H167" s="3" t="s">
        <v>21</v>
      </c>
      <c r="I167" s="4">
        <v>45585</v>
      </c>
      <c r="J167" t="s">
        <v>22</v>
      </c>
      <c r="K167" s="3" t="s">
        <v>23</v>
      </c>
      <c r="L167" s="3" t="s">
        <v>23</v>
      </c>
      <c r="P167" s="3" t="s">
        <v>24</v>
      </c>
      <c r="Q167" t="s">
        <v>458</v>
      </c>
    </row>
    <row r="168" spans="1:17" x14ac:dyDescent="0.25">
      <c r="A168" s="5">
        <v>5262</v>
      </c>
      <c r="B168" s="3" t="s">
        <v>190</v>
      </c>
      <c r="C168" s="3" t="s">
        <v>197</v>
      </c>
      <c r="D168" s="3" t="s">
        <v>58</v>
      </c>
      <c r="E168" s="3" t="s">
        <v>459</v>
      </c>
      <c r="F168" s="3" t="s">
        <v>225</v>
      </c>
      <c r="G168" s="9">
        <v>480</v>
      </c>
      <c r="H168" s="3" t="s">
        <v>21</v>
      </c>
      <c r="I168" s="4">
        <v>45585</v>
      </c>
      <c r="J168" t="s">
        <v>22</v>
      </c>
      <c r="K168" s="3" t="s">
        <v>23</v>
      </c>
      <c r="L168" s="3" t="s">
        <v>23</v>
      </c>
      <c r="P168" s="3" t="s">
        <v>24</v>
      </c>
      <c r="Q168" t="s">
        <v>460</v>
      </c>
    </row>
    <row r="169" spans="1:17" x14ac:dyDescent="0.25">
      <c r="A169" s="5">
        <v>5263</v>
      </c>
      <c r="B169" s="3" t="s">
        <v>190</v>
      </c>
      <c r="C169" s="3" t="s">
        <v>34</v>
      </c>
      <c r="D169" s="3" t="s">
        <v>58</v>
      </c>
      <c r="E169" s="3" t="s">
        <v>461</v>
      </c>
      <c r="F169" s="3" t="s">
        <v>462</v>
      </c>
      <c r="G169" s="9">
        <v>400</v>
      </c>
      <c r="H169" s="3" t="s">
        <v>21</v>
      </c>
      <c r="I169" s="4">
        <v>45585</v>
      </c>
      <c r="J169" t="s">
        <v>22</v>
      </c>
      <c r="K169" s="3" t="s">
        <v>23</v>
      </c>
      <c r="L169" s="3" t="s">
        <v>23</v>
      </c>
      <c r="P169" s="3" t="s">
        <v>24</v>
      </c>
      <c r="Q169" t="s">
        <v>463</v>
      </c>
    </row>
    <row r="170" spans="1:17" x14ac:dyDescent="0.25">
      <c r="A170" s="5">
        <v>5264</v>
      </c>
      <c r="B170" s="3" t="s">
        <v>39</v>
      </c>
      <c r="C170" s="3" t="s">
        <v>184</v>
      </c>
      <c r="D170" s="3" t="s">
        <v>50</v>
      </c>
      <c r="E170" s="3" t="s">
        <v>464</v>
      </c>
      <c r="F170" s="3" t="s">
        <v>42</v>
      </c>
      <c r="G170" s="9">
        <v>550</v>
      </c>
      <c r="H170" s="3" t="s">
        <v>21</v>
      </c>
      <c r="I170" s="4">
        <v>45587</v>
      </c>
      <c r="J170" t="s">
        <v>22</v>
      </c>
      <c r="K170" s="3" t="s">
        <v>23</v>
      </c>
      <c r="L170" s="3" t="s">
        <v>23</v>
      </c>
      <c r="P170" s="3" t="s">
        <v>24</v>
      </c>
      <c r="Q170" t="s">
        <v>465</v>
      </c>
    </row>
    <row r="171" spans="1:17" x14ac:dyDescent="0.25">
      <c r="A171" s="5">
        <v>5265</v>
      </c>
      <c r="B171" s="3" t="s">
        <v>466</v>
      </c>
      <c r="C171" s="3" t="s">
        <v>40</v>
      </c>
      <c r="D171" s="3" t="s">
        <v>108</v>
      </c>
      <c r="E171" s="3" t="s">
        <v>467</v>
      </c>
      <c r="F171" s="3" t="s">
        <v>468</v>
      </c>
      <c r="G171" s="9">
        <v>5200</v>
      </c>
      <c r="H171" s="3" t="s">
        <v>21</v>
      </c>
      <c r="I171" s="4">
        <v>45588</v>
      </c>
      <c r="J171" t="s">
        <v>469</v>
      </c>
      <c r="K171" s="3" t="s">
        <v>23</v>
      </c>
      <c r="L171" s="3" t="s">
        <v>23</v>
      </c>
      <c r="P171" s="3" t="s">
        <v>24</v>
      </c>
      <c r="Q171" t="s">
        <v>470</v>
      </c>
    </row>
    <row r="172" spans="1:17" x14ac:dyDescent="0.25">
      <c r="A172" s="5">
        <v>5274</v>
      </c>
      <c r="B172" s="3" t="s">
        <v>190</v>
      </c>
      <c r="C172" s="3" t="s">
        <v>29</v>
      </c>
      <c r="D172" s="3" t="s">
        <v>58</v>
      </c>
      <c r="E172" s="3" t="s">
        <v>471</v>
      </c>
      <c r="F172" s="3" t="s">
        <v>472</v>
      </c>
      <c r="G172" s="9">
        <v>4800</v>
      </c>
      <c r="H172" s="3" t="s">
        <v>21</v>
      </c>
      <c r="I172" s="4">
        <v>45591</v>
      </c>
      <c r="J172" s="3" t="s">
        <v>473</v>
      </c>
      <c r="K172" s="3" t="s">
        <v>23</v>
      </c>
      <c r="L172" s="3" t="s">
        <v>23</v>
      </c>
      <c r="M172" s="3" t="s">
        <v>271</v>
      </c>
      <c r="N172" s="3"/>
      <c r="O172" s="3"/>
      <c r="P172" s="3" t="s">
        <v>24</v>
      </c>
      <c r="Q172" t="s">
        <v>474</v>
      </c>
    </row>
    <row r="173" spans="1:17" x14ac:dyDescent="0.25">
      <c r="A173" s="5">
        <v>5275</v>
      </c>
      <c r="B173" s="3" t="s">
        <v>190</v>
      </c>
      <c r="C173" s="3" t="s">
        <v>40</v>
      </c>
      <c r="D173" s="3" t="s">
        <v>58</v>
      </c>
      <c r="E173" s="3" t="s">
        <v>475</v>
      </c>
      <c r="F173" s="3" t="s">
        <v>225</v>
      </c>
      <c r="G173" s="9">
        <v>440</v>
      </c>
      <c r="H173" s="3" t="s">
        <v>21</v>
      </c>
      <c r="I173" s="4">
        <v>45592</v>
      </c>
      <c r="J173" t="s">
        <v>22</v>
      </c>
      <c r="K173" s="3" t="s">
        <v>23</v>
      </c>
      <c r="L173" s="3" t="s">
        <v>23</v>
      </c>
      <c r="P173" s="3" t="s">
        <v>24</v>
      </c>
      <c r="Q173" t="s">
        <v>476</v>
      </c>
    </row>
    <row r="174" spans="1:17" x14ac:dyDescent="0.25">
      <c r="A174" s="5">
        <v>5276</v>
      </c>
      <c r="B174" s="3" t="s">
        <v>190</v>
      </c>
      <c r="C174" s="3" t="s">
        <v>40</v>
      </c>
      <c r="D174" s="3" t="s">
        <v>58</v>
      </c>
      <c r="E174" s="3" t="s">
        <v>477</v>
      </c>
      <c r="F174" s="3" t="s">
        <v>478</v>
      </c>
      <c r="G174" s="9">
        <v>11190</v>
      </c>
      <c r="H174" s="3" t="s">
        <v>21</v>
      </c>
      <c r="I174" s="4">
        <v>45596</v>
      </c>
      <c r="J174" t="s">
        <v>22</v>
      </c>
      <c r="K174" s="3" t="s">
        <v>23</v>
      </c>
      <c r="L174" s="3" t="s">
        <v>23</v>
      </c>
      <c r="M174" s="3"/>
      <c r="N174" s="3"/>
      <c r="O174" s="3"/>
      <c r="P174" s="3" t="s">
        <v>24</v>
      </c>
      <c r="Q174" t="s">
        <v>479</v>
      </c>
    </row>
    <row r="175" spans="1:17" x14ac:dyDescent="0.25">
      <c r="A175" s="5">
        <v>5277</v>
      </c>
      <c r="B175" s="3" t="s">
        <v>159</v>
      </c>
      <c r="C175" s="3" t="s">
        <v>40</v>
      </c>
      <c r="D175" s="3" t="s">
        <v>156</v>
      </c>
      <c r="E175" s="3" t="s">
        <v>480</v>
      </c>
      <c r="F175" s="3" t="s">
        <v>351</v>
      </c>
      <c r="G175" s="9">
        <v>900</v>
      </c>
      <c r="H175" s="3" t="s">
        <v>21</v>
      </c>
      <c r="I175" s="4">
        <v>45596</v>
      </c>
      <c r="J175" t="s">
        <v>22</v>
      </c>
      <c r="K175" s="3" t="s">
        <v>23</v>
      </c>
      <c r="L175" s="3" t="s">
        <v>23</v>
      </c>
      <c r="P175" s="3" t="s">
        <v>24</v>
      </c>
      <c r="Q175" t="s">
        <v>481</v>
      </c>
    </row>
    <row r="176" spans="1:17" x14ac:dyDescent="0.25">
      <c r="A176" s="5">
        <v>5278</v>
      </c>
      <c r="B176" s="3" t="s">
        <v>39</v>
      </c>
      <c r="C176" s="3" t="s">
        <v>29</v>
      </c>
      <c r="D176" s="3" t="s">
        <v>41</v>
      </c>
      <c r="E176" s="3" t="s">
        <v>482</v>
      </c>
      <c r="F176" s="3" t="s">
        <v>483</v>
      </c>
      <c r="G176" s="9">
        <v>2566</v>
      </c>
      <c r="H176" s="3" t="s">
        <v>21</v>
      </c>
      <c r="I176" s="4">
        <v>45600</v>
      </c>
      <c r="J176" t="s">
        <v>22</v>
      </c>
      <c r="K176" s="3" t="s">
        <v>23</v>
      </c>
      <c r="L176" s="3" t="s">
        <v>23</v>
      </c>
      <c r="P176" s="3" t="s">
        <v>24</v>
      </c>
      <c r="Q176" t="s">
        <v>484</v>
      </c>
    </row>
    <row r="177" spans="1:17" x14ac:dyDescent="0.25">
      <c r="A177" s="5">
        <v>5282</v>
      </c>
      <c r="B177" s="3" t="s">
        <v>17</v>
      </c>
      <c r="C177" s="3" t="s">
        <v>40</v>
      </c>
      <c r="D177" s="3" t="s">
        <v>35</v>
      </c>
      <c r="E177" s="3" t="s">
        <v>485</v>
      </c>
      <c r="F177" s="3" t="s">
        <v>486</v>
      </c>
      <c r="G177" s="9">
        <v>120</v>
      </c>
      <c r="H177" s="3" t="s">
        <v>21</v>
      </c>
      <c r="I177" s="4">
        <v>45600</v>
      </c>
      <c r="J177" t="s">
        <v>22</v>
      </c>
      <c r="K177" s="3" t="s">
        <v>23</v>
      </c>
      <c r="L177" s="3" t="s">
        <v>23</v>
      </c>
      <c r="P177" s="3" t="s">
        <v>24</v>
      </c>
      <c r="Q177" t="s">
        <v>487</v>
      </c>
    </row>
    <row r="178" spans="1:17" x14ac:dyDescent="0.25">
      <c r="A178" s="5">
        <v>5283</v>
      </c>
      <c r="B178" s="3" t="s">
        <v>190</v>
      </c>
      <c r="C178" s="3" t="s">
        <v>184</v>
      </c>
      <c r="D178" s="3" t="s">
        <v>58</v>
      </c>
      <c r="E178" s="3" t="s">
        <v>488</v>
      </c>
      <c r="F178" s="3" t="s">
        <v>489</v>
      </c>
      <c r="G178" s="9">
        <v>330</v>
      </c>
      <c r="H178" s="3" t="s">
        <v>21</v>
      </c>
      <c r="I178" s="4">
        <v>45600</v>
      </c>
      <c r="J178" t="s">
        <v>22</v>
      </c>
      <c r="K178" s="3" t="s">
        <v>23</v>
      </c>
      <c r="L178" s="3" t="s">
        <v>23</v>
      </c>
      <c r="P178" s="3" t="s">
        <v>24</v>
      </c>
      <c r="Q178" t="s">
        <v>490</v>
      </c>
    </row>
    <row r="179" spans="1:17" x14ac:dyDescent="0.25">
      <c r="A179" s="5">
        <v>5284</v>
      </c>
      <c r="B179" s="3" t="s">
        <v>190</v>
      </c>
      <c r="C179" s="3" t="s">
        <v>40</v>
      </c>
      <c r="D179" s="3" t="s">
        <v>58</v>
      </c>
      <c r="E179" s="3" t="s">
        <v>491</v>
      </c>
      <c r="F179" s="3" t="s">
        <v>225</v>
      </c>
      <c r="G179" s="9">
        <v>440</v>
      </c>
      <c r="H179" s="3" t="s">
        <v>21</v>
      </c>
      <c r="I179" s="4">
        <v>45600</v>
      </c>
      <c r="J179" t="s">
        <v>22</v>
      </c>
      <c r="K179" s="3" t="s">
        <v>23</v>
      </c>
      <c r="L179" s="3" t="s">
        <v>23</v>
      </c>
      <c r="P179" s="3" t="s">
        <v>24</v>
      </c>
      <c r="Q179" t="s">
        <v>492</v>
      </c>
    </row>
    <row r="180" spans="1:17" x14ac:dyDescent="0.25">
      <c r="A180" s="5">
        <v>5285</v>
      </c>
      <c r="B180" s="3" t="s">
        <v>39</v>
      </c>
      <c r="C180" s="3" t="s">
        <v>40</v>
      </c>
      <c r="D180" s="3" t="s">
        <v>41</v>
      </c>
      <c r="E180" s="3" t="s">
        <v>493</v>
      </c>
      <c r="F180" s="3" t="s">
        <v>483</v>
      </c>
      <c r="G180" s="9">
        <v>1224</v>
      </c>
      <c r="H180" s="3" t="s">
        <v>21</v>
      </c>
      <c r="I180" s="4">
        <v>45600</v>
      </c>
      <c r="J180" t="s">
        <v>22</v>
      </c>
      <c r="K180" s="3" t="s">
        <v>23</v>
      </c>
      <c r="L180" s="3" t="s">
        <v>23</v>
      </c>
      <c r="P180" s="3" t="s">
        <v>24</v>
      </c>
      <c r="Q180" t="s">
        <v>494</v>
      </c>
    </row>
    <row r="181" spans="1:17" x14ac:dyDescent="0.25">
      <c r="A181" s="5">
        <v>5286</v>
      </c>
      <c r="B181" s="3" t="s">
        <v>190</v>
      </c>
      <c r="C181" s="3" t="s">
        <v>29</v>
      </c>
      <c r="D181" s="3" t="s">
        <v>58</v>
      </c>
      <c r="E181" s="3" t="s">
        <v>495</v>
      </c>
      <c r="F181" s="3" t="s">
        <v>225</v>
      </c>
      <c r="G181" s="9">
        <v>440</v>
      </c>
      <c r="H181" s="3" t="s">
        <v>21</v>
      </c>
      <c r="I181" s="4">
        <v>45601</v>
      </c>
      <c r="J181" t="s">
        <v>22</v>
      </c>
      <c r="K181" s="3" t="s">
        <v>23</v>
      </c>
      <c r="L181" s="3" t="s">
        <v>23</v>
      </c>
      <c r="P181" s="3" t="s">
        <v>24</v>
      </c>
      <c r="Q181" t="s">
        <v>496</v>
      </c>
    </row>
    <row r="182" spans="1:17" x14ac:dyDescent="0.25">
      <c r="A182" s="5">
        <v>5290</v>
      </c>
      <c r="B182" s="3" t="s">
        <v>190</v>
      </c>
      <c r="C182" s="3" t="s">
        <v>197</v>
      </c>
      <c r="D182" s="3" t="s">
        <v>58</v>
      </c>
      <c r="E182" s="3" t="s">
        <v>497</v>
      </c>
      <c r="F182" s="3" t="s">
        <v>225</v>
      </c>
      <c r="G182" s="9">
        <v>648</v>
      </c>
      <c r="H182" s="3" t="s">
        <v>21</v>
      </c>
      <c r="I182" s="4">
        <v>45605</v>
      </c>
      <c r="J182" t="s">
        <v>22</v>
      </c>
      <c r="K182" s="3" t="s">
        <v>23</v>
      </c>
      <c r="L182" s="3" t="s">
        <v>23</v>
      </c>
      <c r="P182" s="3" t="s">
        <v>24</v>
      </c>
      <c r="Q182" t="s">
        <v>498</v>
      </c>
    </row>
    <row r="183" spans="1:17" x14ac:dyDescent="0.25">
      <c r="A183" s="5">
        <v>5291</v>
      </c>
      <c r="B183" s="3" t="s">
        <v>17</v>
      </c>
      <c r="C183" s="3" t="s">
        <v>18</v>
      </c>
      <c r="D183" s="3" t="s">
        <v>19</v>
      </c>
      <c r="E183" s="3" t="s">
        <v>499</v>
      </c>
      <c r="F183" s="3" t="s">
        <v>500</v>
      </c>
      <c r="G183" s="9">
        <v>5980</v>
      </c>
      <c r="H183" s="3" t="s">
        <v>21</v>
      </c>
      <c r="I183" s="4">
        <v>45606</v>
      </c>
      <c r="J183" t="s">
        <v>469</v>
      </c>
      <c r="K183" s="3" t="s">
        <v>23</v>
      </c>
      <c r="L183" s="3" t="s">
        <v>23</v>
      </c>
      <c r="P183" s="3" t="s">
        <v>24</v>
      </c>
      <c r="Q183" t="s">
        <v>501</v>
      </c>
    </row>
    <row r="184" spans="1:17" x14ac:dyDescent="0.25">
      <c r="A184" s="5">
        <v>5292</v>
      </c>
      <c r="B184" s="3" t="s">
        <v>190</v>
      </c>
      <c r="C184" s="3" t="s">
        <v>197</v>
      </c>
      <c r="D184" s="3" t="s">
        <v>58</v>
      </c>
      <c r="E184" s="3" t="s">
        <v>502</v>
      </c>
      <c r="F184" s="3" t="s">
        <v>472</v>
      </c>
      <c r="G184" s="9">
        <v>6380</v>
      </c>
      <c r="H184" s="3" t="s">
        <v>21</v>
      </c>
      <c r="I184" s="4">
        <v>45613</v>
      </c>
      <c r="J184" s="3" t="s">
        <v>503</v>
      </c>
      <c r="K184" s="3" t="s">
        <v>23</v>
      </c>
      <c r="L184" s="3" t="s">
        <v>23</v>
      </c>
      <c r="P184" s="3" t="s">
        <v>24</v>
      </c>
      <c r="Q184" t="s">
        <v>504</v>
      </c>
    </row>
    <row r="185" spans="1:17" x14ac:dyDescent="0.25">
      <c r="A185" s="5">
        <v>5293</v>
      </c>
      <c r="B185" s="3" t="s">
        <v>190</v>
      </c>
      <c r="C185" s="3" t="s">
        <v>197</v>
      </c>
      <c r="D185" s="3" t="s">
        <v>58</v>
      </c>
      <c r="E185" s="3" t="s">
        <v>505</v>
      </c>
      <c r="F185" s="3" t="s">
        <v>506</v>
      </c>
      <c r="G185" s="9">
        <v>1975</v>
      </c>
      <c r="H185" s="3" t="s">
        <v>21</v>
      </c>
      <c r="I185" s="4">
        <v>45615</v>
      </c>
      <c r="J185" t="s">
        <v>469</v>
      </c>
      <c r="K185" s="3" t="s">
        <v>23</v>
      </c>
      <c r="L185" s="3" t="s">
        <v>23</v>
      </c>
      <c r="P185" s="3" t="s">
        <v>24</v>
      </c>
      <c r="Q185" t="s">
        <v>507</v>
      </c>
    </row>
    <row r="186" spans="1:17" x14ac:dyDescent="0.25">
      <c r="A186" s="5">
        <v>5294</v>
      </c>
      <c r="B186" s="3" t="s">
        <v>508</v>
      </c>
      <c r="C186" s="3" t="s">
        <v>40</v>
      </c>
      <c r="D186" s="3" t="s">
        <v>19</v>
      </c>
      <c r="E186" s="3" t="s">
        <v>509</v>
      </c>
      <c r="F186" s="3" t="s">
        <v>510</v>
      </c>
      <c r="G186" s="9">
        <v>3360</v>
      </c>
      <c r="H186" s="3" t="s">
        <v>21</v>
      </c>
      <c r="I186" s="4">
        <v>45619</v>
      </c>
      <c r="J186" t="s">
        <v>469</v>
      </c>
      <c r="K186" s="3" t="s">
        <v>23</v>
      </c>
      <c r="L186" s="3" t="s">
        <v>23</v>
      </c>
      <c r="M186" s="3" t="s">
        <v>271</v>
      </c>
      <c r="N186" s="3"/>
      <c r="O186" s="3"/>
      <c r="P186" s="3" t="s">
        <v>24</v>
      </c>
      <c r="Q186" t="s">
        <v>511</v>
      </c>
    </row>
    <row r="187" spans="1:17" x14ac:dyDescent="0.25">
      <c r="A187" s="5">
        <v>5312</v>
      </c>
      <c r="B187" s="3" t="s">
        <v>17</v>
      </c>
      <c r="C187" s="3" t="s">
        <v>18</v>
      </c>
      <c r="D187" s="3" t="s">
        <v>35</v>
      </c>
      <c r="E187" s="3" t="s">
        <v>512</v>
      </c>
      <c r="F187" s="3" t="s">
        <v>513</v>
      </c>
      <c r="G187" s="9">
        <v>1240</v>
      </c>
      <c r="H187" s="3" t="s">
        <v>21</v>
      </c>
      <c r="I187" s="4">
        <v>45619</v>
      </c>
      <c r="J187" t="s">
        <v>22</v>
      </c>
      <c r="K187" s="3" t="s">
        <v>23</v>
      </c>
      <c r="L187" s="3" t="s">
        <v>23</v>
      </c>
      <c r="P187" s="3" t="s">
        <v>24</v>
      </c>
      <c r="Q187" t="s">
        <v>514</v>
      </c>
    </row>
    <row r="188" spans="1:17" x14ac:dyDescent="0.25">
      <c r="A188" s="5">
        <v>5313</v>
      </c>
      <c r="B188" s="3" t="s">
        <v>159</v>
      </c>
      <c r="C188" s="3" t="s">
        <v>40</v>
      </c>
      <c r="D188" s="3" t="s">
        <v>156</v>
      </c>
      <c r="E188" s="3" t="s">
        <v>515</v>
      </c>
      <c r="F188" s="3" t="s">
        <v>247</v>
      </c>
      <c r="G188" s="9">
        <v>2000</v>
      </c>
      <c r="H188" s="3" t="s">
        <v>21</v>
      </c>
      <c r="I188" s="4">
        <v>45621</v>
      </c>
      <c r="J188" t="s">
        <v>22</v>
      </c>
      <c r="K188" s="3" t="s">
        <v>23</v>
      </c>
      <c r="L188" s="3" t="s">
        <v>23</v>
      </c>
      <c r="P188" s="3" t="s">
        <v>24</v>
      </c>
      <c r="Q188" t="s">
        <v>516</v>
      </c>
    </row>
    <row r="189" spans="1:17" x14ac:dyDescent="0.25">
      <c r="A189" s="5">
        <v>5314</v>
      </c>
      <c r="B189" s="3" t="s">
        <v>190</v>
      </c>
      <c r="C189" s="3" t="s">
        <v>34</v>
      </c>
      <c r="D189" s="3" t="s">
        <v>58</v>
      </c>
      <c r="E189" s="3" t="s">
        <v>517</v>
      </c>
      <c r="F189" s="3" t="s">
        <v>518</v>
      </c>
      <c r="G189" s="9">
        <v>1500</v>
      </c>
      <c r="H189" s="3" t="s">
        <v>21</v>
      </c>
      <c r="I189" s="4">
        <v>45629</v>
      </c>
      <c r="J189" t="s">
        <v>22</v>
      </c>
      <c r="K189" s="3" t="s">
        <v>23</v>
      </c>
      <c r="L189" s="3" t="s">
        <v>23</v>
      </c>
      <c r="P189" s="3" t="s">
        <v>24</v>
      </c>
      <c r="Q189" t="s">
        <v>519</v>
      </c>
    </row>
    <row r="190" spans="1:17" x14ac:dyDescent="0.25">
      <c r="A190" s="5">
        <v>5315</v>
      </c>
      <c r="B190" s="3" t="s">
        <v>190</v>
      </c>
      <c r="C190" s="3" t="s">
        <v>34</v>
      </c>
      <c r="D190" s="3" t="s">
        <v>58</v>
      </c>
      <c r="E190" s="3" t="s">
        <v>520</v>
      </c>
      <c r="F190" s="3" t="s">
        <v>521</v>
      </c>
      <c r="G190" s="9">
        <v>3950</v>
      </c>
      <c r="H190" s="3" t="s">
        <v>21</v>
      </c>
      <c r="I190" s="4">
        <v>45629</v>
      </c>
      <c r="J190" t="s">
        <v>22</v>
      </c>
      <c r="K190" s="3" t="s">
        <v>23</v>
      </c>
      <c r="L190" s="3" t="s">
        <v>23</v>
      </c>
      <c r="P190" s="3" t="s">
        <v>24</v>
      </c>
      <c r="Q190" t="s">
        <v>522</v>
      </c>
    </row>
    <row r="191" spans="1:17" x14ac:dyDescent="0.25">
      <c r="A191" s="5">
        <v>5316</v>
      </c>
      <c r="B191" s="3" t="s">
        <v>523</v>
      </c>
      <c r="C191" s="3" t="s">
        <v>40</v>
      </c>
      <c r="D191" s="3" t="s">
        <v>50</v>
      </c>
      <c r="E191" s="3" t="s">
        <v>524</v>
      </c>
      <c r="F191" s="3" t="s">
        <v>525</v>
      </c>
      <c r="G191" s="9">
        <v>1675</v>
      </c>
      <c r="H191" s="3" t="s">
        <v>21</v>
      </c>
      <c r="I191" s="4">
        <v>45630</v>
      </c>
      <c r="J191" s="3" t="s">
        <v>526</v>
      </c>
      <c r="K191" s="3" t="s">
        <v>23</v>
      </c>
      <c r="L191" s="3" t="s">
        <v>23</v>
      </c>
      <c r="M191" s="3" t="s">
        <v>447</v>
      </c>
      <c r="N191" s="3"/>
      <c r="O191" s="3"/>
      <c r="P191" s="3" t="s">
        <v>24</v>
      </c>
      <c r="Q191" t="s">
        <v>527</v>
      </c>
    </row>
    <row r="192" spans="1:17" x14ac:dyDescent="0.25">
      <c r="A192" s="5">
        <v>5344</v>
      </c>
      <c r="B192" s="3" t="s">
        <v>63</v>
      </c>
      <c r="C192" s="3" t="s">
        <v>40</v>
      </c>
      <c r="D192" s="3" t="s">
        <v>64</v>
      </c>
      <c r="E192" s="3">
        <v>21215</v>
      </c>
      <c r="F192" s="3" t="s">
        <v>528</v>
      </c>
      <c r="G192" s="9">
        <v>700</v>
      </c>
      <c r="H192" s="3" t="s">
        <v>21</v>
      </c>
      <c r="I192" s="4">
        <v>45647</v>
      </c>
      <c r="J192" t="s">
        <v>22</v>
      </c>
      <c r="K192" s="3" t="s">
        <v>23</v>
      </c>
      <c r="L192" s="3" t="s">
        <v>23</v>
      </c>
      <c r="P192" s="3" t="s">
        <v>24</v>
      </c>
    </row>
    <row r="193" spans="1:17" x14ac:dyDescent="0.25">
      <c r="A193" s="5">
        <v>5345</v>
      </c>
      <c r="B193" s="3" t="s">
        <v>63</v>
      </c>
      <c r="C193" s="3" t="s">
        <v>40</v>
      </c>
      <c r="D193" s="3" t="s">
        <v>144</v>
      </c>
      <c r="E193" s="3">
        <v>21203</v>
      </c>
      <c r="F193" s="3" t="s">
        <v>529</v>
      </c>
      <c r="G193" s="9">
        <v>7200</v>
      </c>
      <c r="H193" s="3" t="s">
        <v>21</v>
      </c>
      <c r="I193" s="4">
        <v>45647</v>
      </c>
      <c r="J193" t="s">
        <v>22</v>
      </c>
      <c r="K193" s="3" t="s">
        <v>23</v>
      </c>
      <c r="L193" s="3" t="s">
        <v>23</v>
      </c>
      <c r="P193" s="3" t="s">
        <v>24</v>
      </c>
      <c r="Q193" t="s">
        <v>530</v>
      </c>
    </row>
    <row r="194" spans="1:17" x14ac:dyDescent="0.25">
      <c r="A194" s="5">
        <v>5346</v>
      </c>
      <c r="B194" s="3" t="s">
        <v>190</v>
      </c>
      <c r="C194" s="3" t="s">
        <v>29</v>
      </c>
      <c r="D194" s="3" t="s">
        <v>58</v>
      </c>
      <c r="E194" s="3" t="s">
        <v>531</v>
      </c>
      <c r="F194" s="3" t="s">
        <v>532</v>
      </c>
      <c r="G194" s="9">
        <v>440</v>
      </c>
      <c r="H194" s="3" t="s">
        <v>21</v>
      </c>
      <c r="I194" s="4">
        <v>45647</v>
      </c>
      <c r="J194" t="s">
        <v>22</v>
      </c>
      <c r="K194" s="3" t="s">
        <v>23</v>
      </c>
      <c r="L194" s="3" t="s">
        <v>23</v>
      </c>
      <c r="P194" s="3" t="s">
        <v>24</v>
      </c>
      <c r="Q194" t="s">
        <v>533</v>
      </c>
    </row>
    <row r="195" spans="1:17" x14ac:dyDescent="0.25">
      <c r="A195" s="5">
        <v>5347</v>
      </c>
      <c r="B195" s="3" t="s">
        <v>107</v>
      </c>
      <c r="C195" s="3" t="s">
        <v>40</v>
      </c>
      <c r="D195" s="3" t="s">
        <v>108</v>
      </c>
      <c r="E195" s="3" t="s">
        <v>534</v>
      </c>
      <c r="F195" s="3" t="s">
        <v>535</v>
      </c>
      <c r="G195" s="9">
        <v>4850</v>
      </c>
      <c r="H195" s="3" t="s">
        <v>21</v>
      </c>
      <c r="I195" s="4">
        <v>45649</v>
      </c>
      <c r="J195" t="s">
        <v>469</v>
      </c>
      <c r="K195" s="3" t="s">
        <v>23</v>
      </c>
      <c r="L195" s="3" t="s">
        <v>23</v>
      </c>
      <c r="M195" s="3"/>
      <c r="N195" s="3"/>
      <c r="O195" s="3"/>
      <c r="P195" s="3" t="s">
        <v>24</v>
      </c>
      <c r="Q195" t="s">
        <v>536</v>
      </c>
    </row>
    <row r="196" spans="1:17" x14ac:dyDescent="0.25">
      <c r="A196" s="5">
        <v>5348</v>
      </c>
      <c r="B196" s="3" t="s">
        <v>190</v>
      </c>
      <c r="C196" s="3" t="s">
        <v>40</v>
      </c>
      <c r="D196" s="3" t="s">
        <v>58</v>
      </c>
      <c r="E196" s="3" t="s">
        <v>537</v>
      </c>
      <c r="F196" s="3" t="s">
        <v>538</v>
      </c>
      <c r="G196" s="9">
        <v>2560</v>
      </c>
      <c r="H196" s="3" t="s">
        <v>21</v>
      </c>
      <c r="I196" s="4">
        <v>45650</v>
      </c>
      <c r="J196" t="s">
        <v>22</v>
      </c>
      <c r="K196" s="3" t="s">
        <v>23</v>
      </c>
      <c r="L196" s="3" t="s">
        <v>23</v>
      </c>
      <c r="P196" s="3" t="s">
        <v>24</v>
      </c>
      <c r="Q196" t="s">
        <v>539</v>
      </c>
    </row>
    <row r="197" spans="1:17" x14ac:dyDescent="0.25">
      <c r="A197" s="5">
        <v>5357</v>
      </c>
      <c r="B197" s="3" t="s">
        <v>17</v>
      </c>
      <c r="C197" s="3" t="s">
        <v>40</v>
      </c>
      <c r="D197" s="3" t="s">
        <v>35</v>
      </c>
      <c r="E197" s="3" t="s">
        <v>540</v>
      </c>
      <c r="F197" s="3" t="s">
        <v>541</v>
      </c>
      <c r="G197" s="9">
        <v>120</v>
      </c>
      <c r="H197" s="3" t="s">
        <v>21</v>
      </c>
      <c r="I197" s="4">
        <v>45652</v>
      </c>
      <c r="J197" t="s">
        <v>22</v>
      </c>
      <c r="K197" s="3" t="s">
        <v>23</v>
      </c>
      <c r="L197" s="3" t="s">
        <v>23</v>
      </c>
      <c r="P197" s="3" t="s">
        <v>24</v>
      </c>
      <c r="Q197" t="s">
        <v>542</v>
      </c>
    </row>
    <row r="198" spans="1:17" x14ac:dyDescent="0.25">
      <c r="A198" s="5">
        <v>5358</v>
      </c>
      <c r="B198" s="3" t="s">
        <v>17</v>
      </c>
      <c r="C198" s="3" t="s">
        <v>184</v>
      </c>
      <c r="D198" s="3" t="s">
        <v>19</v>
      </c>
      <c r="E198" s="3" t="s">
        <v>543</v>
      </c>
      <c r="F198" s="3" t="s">
        <v>544</v>
      </c>
      <c r="G198" s="9">
        <v>400</v>
      </c>
      <c r="H198" s="3" t="s">
        <v>21</v>
      </c>
      <c r="I198" s="4">
        <v>45652</v>
      </c>
      <c r="J198" t="s">
        <v>22</v>
      </c>
      <c r="K198" s="3" t="s">
        <v>23</v>
      </c>
      <c r="L198" s="3" t="s">
        <v>23</v>
      </c>
      <c r="P198" s="3" t="s">
        <v>24</v>
      </c>
      <c r="Q198" t="s">
        <v>545</v>
      </c>
    </row>
    <row r="199" spans="1:17" x14ac:dyDescent="0.25">
      <c r="A199" s="5">
        <v>5359</v>
      </c>
      <c r="B199" s="3" t="s">
        <v>17</v>
      </c>
      <c r="C199" s="3" t="s">
        <v>40</v>
      </c>
      <c r="D199" s="3" t="s">
        <v>19</v>
      </c>
      <c r="E199" s="3" t="s">
        <v>546</v>
      </c>
      <c r="F199" s="3" t="s">
        <v>547</v>
      </c>
      <c r="G199" s="9">
        <v>470</v>
      </c>
      <c r="H199" s="3" t="s">
        <v>21</v>
      </c>
      <c r="I199" s="4">
        <v>45652</v>
      </c>
      <c r="J199" t="s">
        <v>22</v>
      </c>
      <c r="K199" s="3" t="s">
        <v>23</v>
      </c>
      <c r="L199" s="3" t="s">
        <v>23</v>
      </c>
      <c r="P199" s="3" t="s">
        <v>24</v>
      </c>
      <c r="Q199" t="s">
        <v>548</v>
      </c>
    </row>
    <row r="200" spans="1:17" x14ac:dyDescent="0.25">
      <c r="A200" s="5">
        <v>5360</v>
      </c>
      <c r="B200" s="3" t="s">
        <v>17</v>
      </c>
      <c r="C200" s="3" t="s">
        <v>31</v>
      </c>
      <c r="D200" s="3" t="s">
        <v>19</v>
      </c>
      <c r="E200" s="3" t="s">
        <v>549</v>
      </c>
      <c r="F200" s="3" t="s">
        <v>550</v>
      </c>
      <c r="G200" s="9">
        <v>450</v>
      </c>
      <c r="H200" s="3" t="s">
        <v>21</v>
      </c>
      <c r="I200" s="4">
        <v>45652</v>
      </c>
      <c r="J200" t="s">
        <v>22</v>
      </c>
      <c r="K200" s="3" t="s">
        <v>23</v>
      </c>
      <c r="L200" s="3" t="s">
        <v>23</v>
      </c>
      <c r="P200" s="3" t="s">
        <v>24</v>
      </c>
      <c r="Q200" t="s">
        <v>551</v>
      </c>
    </row>
    <row r="201" spans="1:17" x14ac:dyDescent="0.25">
      <c r="A201" s="5">
        <v>5361</v>
      </c>
      <c r="B201" s="3" t="s">
        <v>523</v>
      </c>
      <c r="C201" s="3" t="s">
        <v>40</v>
      </c>
      <c r="D201" s="3" t="s">
        <v>50</v>
      </c>
      <c r="E201" s="3" t="s">
        <v>552</v>
      </c>
      <c r="F201" s="3" t="s">
        <v>525</v>
      </c>
      <c r="G201" s="9">
        <v>675</v>
      </c>
      <c r="H201" s="3" t="s">
        <v>21</v>
      </c>
      <c r="I201" s="4">
        <v>45656</v>
      </c>
      <c r="J201" t="s">
        <v>22</v>
      </c>
      <c r="K201" s="3" t="s">
        <v>23</v>
      </c>
      <c r="L201" s="3" t="s">
        <v>23</v>
      </c>
      <c r="P201" s="3" t="s">
        <v>24</v>
      </c>
      <c r="Q201" t="s">
        <v>553</v>
      </c>
    </row>
    <row r="202" spans="1:17" x14ac:dyDescent="0.25">
      <c r="A202" s="5">
        <v>5378</v>
      </c>
      <c r="B202" s="3" t="s">
        <v>190</v>
      </c>
      <c r="C202" s="3" t="s">
        <v>29</v>
      </c>
      <c r="D202" s="3" t="s">
        <v>58</v>
      </c>
      <c r="E202" s="3" t="s">
        <v>554</v>
      </c>
      <c r="F202" s="3" t="s">
        <v>555</v>
      </c>
      <c r="G202" s="9">
        <v>4350</v>
      </c>
      <c r="H202" s="3" t="s">
        <v>21</v>
      </c>
      <c r="I202" s="4">
        <v>45658</v>
      </c>
      <c r="J202" s="3" t="s">
        <v>473</v>
      </c>
      <c r="K202" s="3" t="s">
        <v>23</v>
      </c>
      <c r="L202" s="3" t="s">
        <v>23</v>
      </c>
      <c r="P202" s="3" t="s">
        <v>24</v>
      </c>
      <c r="Q202" t="s">
        <v>556</v>
      </c>
    </row>
    <row r="203" spans="1:17" x14ac:dyDescent="0.25">
      <c r="A203" s="5">
        <v>5379</v>
      </c>
      <c r="B203" s="3" t="s">
        <v>39</v>
      </c>
      <c r="C203" s="3" t="s">
        <v>40</v>
      </c>
      <c r="D203" s="3" t="s">
        <v>41</v>
      </c>
      <c r="E203" s="3" t="s">
        <v>557</v>
      </c>
      <c r="F203" s="3" t="s">
        <v>558</v>
      </c>
      <c r="G203" s="9">
        <v>1400</v>
      </c>
      <c r="H203" s="3" t="s">
        <v>21</v>
      </c>
      <c r="I203" s="4">
        <v>45658</v>
      </c>
      <c r="J203" t="s">
        <v>22</v>
      </c>
      <c r="K203" s="3" t="s">
        <v>23</v>
      </c>
      <c r="L203" s="3" t="s">
        <v>23</v>
      </c>
      <c r="P203" s="3" t="s">
        <v>24</v>
      </c>
      <c r="Q203" t="s">
        <v>559</v>
      </c>
    </row>
    <row r="204" spans="1:17" x14ac:dyDescent="0.25">
      <c r="A204" s="5">
        <v>5380</v>
      </c>
      <c r="B204" s="3" t="s">
        <v>560</v>
      </c>
      <c r="C204" s="3" t="s">
        <v>40</v>
      </c>
      <c r="D204" s="3" t="s">
        <v>156</v>
      </c>
      <c r="E204" s="3" t="s">
        <v>561</v>
      </c>
      <c r="F204" s="3" t="s">
        <v>562</v>
      </c>
      <c r="G204" s="9">
        <v>3880</v>
      </c>
      <c r="H204" s="3" t="s">
        <v>21</v>
      </c>
      <c r="I204" s="4">
        <v>45659</v>
      </c>
      <c r="J204" t="s">
        <v>469</v>
      </c>
      <c r="K204" s="3" t="s">
        <v>23</v>
      </c>
      <c r="L204" s="3" t="s">
        <v>23</v>
      </c>
      <c r="P204" s="3" t="s">
        <v>24</v>
      </c>
      <c r="Q204" t="s">
        <v>563</v>
      </c>
    </row>
    <row r="205" spans="1:17" x14ac:dyDescent="0.25">
      <c r="A205" s="5">
        <v>5381</v>
      </c>
      <c r="B205" s="3" t="s">
        <v>63</v>
      </c>
      <c r="C205" s="3" t="s">
        <v>40</v>
      </c>
      <c r="D205" s="3" t="s">
        <v>144</v>
      </c>
      <c r="E205" s="3">
        <v>21090</v>
      </c>
      <c r="F205" s="3" t="s">
        <v>564</v>
      </c>
      <c r="G205" s="9">
        <v>3200</v>
      </c>
      <c r="H205" s="3" t="s">
        <v>21</v>
      </c>
      <c r="I205" s="4">
        <v>45661</v>
      </c>
      <c r="J205" t="s">
        <v>22</v>
      </c>
      <c r="K205" s="3" t="s">
        <v>23</v>
      </c>
      <c r="L205" s="3" t="s">
        <v>23</v>
      </c>
      <c r="P205" s="3" t="s">
        <v>24</v>
      </c>
      <c r="Q205" t="s">
        <v>565</v>
      </c>
    </row>
    <row r="206" spans="1:17" x14ac:dyDescent="0.25">
      <c r="A206" s="5">
        <v>5382</v>
      </c>
      <c r="B206" s="3" t="s">
        <v>63</v>
      </c>
      <c r="C206" s="3" t="s">
        <v>40</v>
      </c>
      <c r="D206" s="3" t="s">
        <v>144</v>
      </c>
      <c r="E206" s="3">
        <v>21091</v>
      </c>
      <c r="F206" s="3" t="s">
        <v>566</v>
      </c>
      <c r="G206" s="9">
        <v>3700</v>
      </c>
      <c r="H206" s="3" t="s">
        <v>21</v>
      </c>
      <c r="I206" s="4">
        <v>45662</v>
      </c>
      <c r="J206" t="s">
        <v>469</v>
      </c>
      <c r="K206" s="3" t="s">
        <v>23</v>
      </c>
      <c r="L206" s="3" t="s">
        <v>23</v>
      </c>
      <c r="M206" s="3"/>
      <c r="N206" s="3"/>
      <c r="O206" s="3"/>
      <c r="P206" s="3" t="s">
        <v>24</v>
      </c>
      <c r="Q206" t="s">
        <v>567</v>
      </c>
    </row>
    <row r="207" spans="1:17" x14ac:dyDescent="0.25">
      <c r="A207" s="5">
        <v>5384</v>
      </c>
      <c r="B207" s="3" t="s">
        <v>63</v>
      </c>
      <c r="C207" s="3" t="s">
        <v>40</v>
      </c>
      <c r="D207" s="3" t="s">
        <v>64</v>
      </c>
      <c r="E207" s="3">
        <v>21092</v>
      </c>
      <c r="F207" s="3" t="s">
        <v>568</v>
      </c>
      <c r="G207" s="9">
        <v>4200</v>
      </c>
      <c r="H207" s="3" t="s">
        <v>21</v>
      </c>
      <c r="I207" s="4">
        <v>45662</v>
      </c>
      <c r="J207" t="s">
        <v>469</v>
      </c>
      <c r="K207" s="3" t="s">
        <v>23</v>
      </c>
      <c r="L207" s="3" t="s">
        <v>23</v>
      </c>
      <c r="M207" s="3" t="s">
        <v>271</v>
      </c>
      <c r="N207" s="3"/>
      <c r="O207" s="3"/>
      <c r="P207" s="3" t="s">
        <v>24</v>
      </c>
      <c r="Q207" t="s">
        <v>569</v>
      </c>
    </row>
    <row r="208" spans="1:17" x14ac:dyDescent="0.25">
      <c r="A208" s="5">
        <v>5385</v>
      </c>
      <c r="B208" s="3" t="s">
        <v>107</v>
      </c>
      <c r="C208" s="3" t="s">
        <v>40</v>
      </c>
      <c r="D208" s="3" t="s">
        <v>108</v>
      </c>
      <c r="E208" s="3" t="s">
        <v>570</v>
      </c>
      <c r="F208" s="3" t="s">
        <v>571</v>
      </c>
      <c r="G208" s="9">
        <v>29210</v>
      </c>
      <c r="H208" s="3" t="s">
        <v>21</v>
      </c>
      <c r="I208" s="4">
        <v>45662</v>
      </c>
      <c r="J208" t="s">
        <v>469</v>
      </c>
      <c r="K208" s="3" t="s">
        <v>23</v>
      </c>
      <c r="L208" s="3" t="s">
        <v>23</v>
      </c>
      <c r="M208" s="3"/>
      <c r="N208" s="3"/>
      <c r="O208" s="3"/>
      <c r="P208" s="3" t="s">
        <v>24</v>
      </c>
      <c r="Q208" t="s">
        <v>572</v>
      </c>
    </row>
    <row r="209" spans="1:17" x14ac:dyDescent="0.25">
      <c r="A209" s="5">
        <v>5386</v>
      </c>
      <c r="B209" s="3" t="s">
        <v>39</v>
      </c>
      <c r="C209" s="3" t="s">
        <v>34</v>
      </c>
      <c r="D209" s="3" t="s">
        <v>41</v>
      </c>
      <c r="E209" s="3" t="s">
        <v>573</v>
      </c>
      <c r="F209" s="3" t="s">
        <v>452</v>
      </c>
      <c r="G209" s="9">
        <v>3800</v>
      </c>
      <c r="H209" s="3" t="s">
        <v>21</v>
      </c>
      <c r="I209" s="4">
        <v>45662</v>
      </c>
      <c r="J209" t="s">
        <v>22</v>
      </c>
      <c r="K209" s="3" t="s">
        <v>23</v>
      </c>
      <c r="L209" s="3" t="s">
        <v>23</v>
      </c>
      <c r="P209" s="3" t="s">
        <v>24</v>
      </c>
      <c r="Q209" t="s">
        <v>574</v>
      </c>
    </row>
    <row r="210" spans="1:17" x14ac:dyDescent="0.25">
      <c r="A210" s="5">
        <v>5387</v>
      </c>
      <c r="B210" s="3" t="s">
        <v>39</v>
      </c>
      <c r="C210" s="3" t="s">
        <v>197</v>
      </c>
      <c r="D210" s="3" t="s">
        <v>41</v>
      </c>
      <c r="E210" s="3" t="s">
        <v>575</v>
      </c>
      <c r="F210" s="3" t="s">
        <v>576</v>
      </c>
      <c r="G210" s="9">
        <v>2256</v>
      </c>
      <c r="H210" s="3" t="s">
        <v>21</v>
      </c>
      <c r="I210" s="4">
        <v>45303</v>
      </c>
      <c r="J210" t="s">
        <v>22</v>
      </c>
      <c r="K210" s="3" t="s">
        <v>23</v>
      </c>
      <c r="L210" s="3" t="s">
        <v>23</v>
      </c>
      <c r="P210" s="3" t="s">
        <v>24</v>
      </c>
      <c r="Q210" t="s">
        <v>577</v>
      </c>
    </row>
    <row r="211" spans="1:17" x14ac:dyDescent="0.25">
      <c r="A211" s="5">
        <v>5388</v>
      </c>
      <c r="B211" s="3" t="s">
        <v>107</v>
      </c>
      <c r="C211" s="3" t="s">
        <v>40</v>
      </c>
      <c r="D211" s="3" t="s">
        <v>108</v>
      </c>
      <c r="E211" s="3" t="s">
        <v>578</v>
      </c>
      <c r="F211" s="3" t="s">
        <v>579</v>
      </c>
      <c r="G211" s="9">
        <v>2990</v>
      </c>
      <c r="H211" s="3" t="s">
        <v>21</v>
      </c>
      <c r="I211" s="4">
        <v>45669</v>
      </c>
      <c r="J211" t="s">
        <v>469</v>
      </c>
      <c r="K211" s="3" t="s">
        <v>23</v>
      </c>
      <c r="L211" s="3" t="s">
        <v>23</v>
      </c>
      <c r="M211" s="3"/>
      <c r="N211" s="3"/>
      <c r="O211" s="3"/>
      <c r="P211" s="3" t="s">
        <v>24</v>
      </c>
      <c r="Q211" t="s">
        <v>580</v>
      </c>
    </row>
    <row r="212" spans="1:17" x14ac:dyDescent="0.25">
      <c r="A212" s="5">
        <v>5398</v>
      </c>
      <c r="B212" s="3" t="s">
        <v>190</v>
      </c>
      <c r="C212" s="3" t="s">
        <v>40</v>
      </c>
      <c r="D212" s="3" t="s">
        <v>58</v>
      </c>
      <c r="E212" s="3" t="s">
        <v>581</v>
      </c>
      <c r="F212" s="3" t="s">
        <v>582</v>
      </c>
      <c r="G212" s="9">
        <v>490</v>
      </c>
      <c r="H212" s="3" t="s">
        <v>21</v>
      </c>
      <c r="I212" s="4">
        <v>45672</v>
      </c>
      <c r="J212" t="s">
        <v>22</v>
      </c>
      <c r="K212" s="3" t="s">
        <v>23</v>
      </c>
      <c r="L212" s="3" t="s">
        <v>23</v>
      </c>
      <c r="P212" s="3" t="s">
        <v>24</v>
      </c>
      <c r="Q212" t="s">
        <v>583</v>
      </c>
    </row>
    <row r="213" spans="1:17" x14ac:dyDescent="0.25">
      <c r="A213" s="5">
        <v>5399</v>
      </c>
      <c r="B213" s="3" t="s">
        <v>190</v>
      </c>
      <c r="C213" s="3" t="s">
        <v>184</v>
      </c>
      <c r="D213" s="3" t="s">
        <v>58</v>
      </c>
      <c r="E213" s="3" t="s">
        <v>584</v>
      </c>
      <c r="F213" s="3" t="s">
        <v>585</v>
      </c>
      <c r="G213" s="9">
        <v>3800</v>
      </c>
      <c r="H213" s="3" t="s">
        <v>21</v>
      </c>
      <c r="I213" s="4">
        <v>45673</v>
      </c>
      <c r="J213" t="s">
        <v>22</v>
      </c>
      <c r="K213" s="3" t="s">
        <v>23</v>
      </c>
      <c r="L213" s="3" t="s">
        <v>23</v>
      </c>
      <c r="P213" s="3" t="s">
        <v>24</v>
      </c>
      <c r="Q213" t="s">
        <v>586</v>
      </c>
    </row>
    <row r="214" spans="1:17" x14ac:dyDescent="0.25">
      <c r="A214" s="5">
        <v>5400</v>
      </c>
      <c r="B214" s="3" t="s">
        <v>17</v>
      </c>
      <c r="C214" s="3" t="s">
        <v>40</v>
      </c>
      <c r="D214" s="3" t="s">
        <v>35</v>
      </c>
      <c r="E214" s="3" t="s">
        <v>587</v>
      </c>
      <c r="F214" s="3" t="s">
        <v>588</v>
      </c>
      <c r="G214" s="9">
        <v>600</v>
      </c>
      <c r="H214" s="3" t="s">
        <v>21</v>
      </c>
      <c r="I214" s="4">
        <v>45683</v>
      </c>
      <c r="J214" t="s">
        <v>22</v>
      </c>
      <c r="K214" s="3" t="s">
        <v>23</v>
      </c>
      <c r="L214" s="3" t="s">
        <v>23</v>
      </c>
      <c r="P214" s="3" t="s">
        <v>24</v>
      </c>
      <c r="Q214" t="s">
        <v>589</v>
      </c>
    </row>
    <row r="215" spans="1:17" x14ac:dyDescent="0.25">
      <c r="A215" s="5">
        <v>5401</v>
      </c>
      <c r="B215" s="3" t="s">
        <v>17</v>
      </c>
      <c r="C215" s="3" t="s">
        <v>18</v>
      </c>
      <c r="D215" s="3" t="s">
        <v>35</v>
      </c>
      <c r="E215" s="3" t="s">
        <v>590</v>
      </c>
      <c r="F215" s="3" t="s">
        <v>591</v>
      </c>
      <c r="G215" s="9">
        <v>700</v>
      </c>
      <c r="H215" s="3" t="s">
        <v>21</v>
      </c>
      <c r="I215" s="4">
        <v>45683</v>
      </c>
      <c r="J215" t="s">
        <v>22</v>
      </c>
      <c r="K215" s="3" t="s">
        <v>23</v>
      </c>
      <c r="L215" s="3" t="s">
        <v>23</v>
      </c>
      <c r="P215" s="3" t="s">
        <v>24</v>
      </c>
      <c r="Q215" t="s">
        <v>592</v>
      </c>
    </row>
    <row r="216" spans="1:17" x14ac:dyDescent="0.25">
      <c r="A216" s="5">
        <v>5402</v>
      </c>
      <c r="B216" s="3" t="s">
        <v>334</v>
      </c>
      <c r="C216" s="3" t="s">
        <v>40</v>
      </c>
      <c r="D216" s="3" t="s">
        <v>114</v>
      </c>
      <c r="E216" s="3" t="s">
        <v>593</v>
      </c>
      <c r="F216" s="3" t="s">
        <v>114</v>
      </c>
      <c r="G216" s="9">
        <v>3000</v>
      </c>
      <c r="H216" s="3" t="s">
        <v>21</v>
      </c>
      <c r="I216" s="4">
        <v>45684</v>
      </c>
      <c r="J216" t="s">
        <v>469</v>
      </c>
      <c r="K216" s="3" t="s">
        <v>23</v>
      </c>
      <c r="L216" s="3" t="s">
        <v>23</v>
      </c>
      <c r="P216" s="3" t="s">
        <v>24</v>
      </c>
      <c r="Q216" t="s">
        <v>594</v>
      </c>
    </row>
    <row r="217" spans="1:17" x14ac:dyDescent="0.25">
      <c r="A217" s="5">
        <v>5406</v>
      </c>
      <c r="B217" s="3" t="s">
        <v>190</v>
      </c>
      <c r="C217" s="3" t="s">
        <v>44</v>
      </c>
      <c r="D217" s="3" t="s">
        <v>58</v>
      </c>
      <c r="E217" s="3" t="s">
        <v>595</v>
      </c>
      <c r="F217" s="3" t="s">
        <v>596</v>
      </c>
      <c r="G217" s="9">
        <v>440</v>
      </c>
      <c r="H217" s="3" t="s">
        <v>21</v>
      </c>
      <c r="I217" s="4">
        <v>45685</v>
      </c>
      <c r="J217" t="s">
        <v>22</v>
      </c>
      <c r="K217" s="3" t="s">
        <v>23</v>
      </c>
      <c r="L217" s="3" t="s">
        <v>23</v>
      </c>
      <c r="P217" s="3" t="s">
        <v>24</v>
      </c>
      <c r="Q217" t="s">
        <v>597</v>
      </c>
    </row>
    <row r="218" spans="1:17" x14ac:dyDescent="0.25">
      <c r="A218" s="5">
        <v>5407</v>
      </c>
      <c r="B218" s="3" t="s">
        <v>560</v>
      </c>
      <c r="C218" s="3" t="s">
        <v>40</v>
      </c>
      <c r="D218" s="3" t="s">
        <v>156</v>
      </c>
      <c r="E218" s="3" t="s">
        <v>598</v>
      </c>
      <c r="F218" s="3" t="s">
        <v>599</v>
      </c>
      <c r="G218" s="9">
        <v>4248</v>
      </c>
      <c r="H218" s="3" t="s">
        <v>21</v>
      </c>
      <c r="I218" s="4">
        <v>45686</v>
      </c>
      <c r="J218" t="s">
        <v>469</v>
      </c>
      <c r="K218" s="3" t="s">
        <v>23</v>
      </c>
      <c r="L218" s="3" t="s">
        <v>23</v>
      </c>
      <c r="M218" s="3" t="s">
        <v>271</v>
      </c>
      <c r="N218" s="3"/>
      <c r="O218" s="3"/>
      <c r="P218" s="3" t="s">
        <v>24</v>
      </c>
      <c r="Q218" t="s">
        <v>600</v>
      </c>
    </row>
    <row r="219" spans="1:17" x14ac:dyDescent="0.25">
      <c r="A219" s="5">
        <v>5408</v>
      </c>
      <c r="B219" s="3" t="s">
        <v>601</v>
      </c>
      <c r="C219" s="3" t="s">
        <v>40</v>
      </c>
      <c r="D219" s="3" t="s">
        <v>50</v>
      </c>
      <c r="E219" s="3" t="s">
        <v>602</v>
      </c>
      <c r="F219" s="3" t="s">
        <v>382</v>
      </c>
      <c r="G219" s="9">
        <v>3930</v>
      </c>
      <c r="H219" s="3" t="s">
        <v>21</v>
      </c>
      <c r="I219" s="4">
        <v>45689</v>
      </c>
      <c r="J219" t="s">
        <v>469</v>
      </c>
      <c r="K219" s="3" t="s">
        <v>23</v>
      </c>
      <c r="L219" s="3" t="s">
        <v>23</v>
      </c>
      <c r="P219" s="3" t="s">
        <v>24</v>
      </c>
      <c r="Q219" t="s">
        <v>603</v>
      </c>
    </row>
    <row r="220" spans="1:17" x14ac:dyDescent="0.25">
      <c r="A220" s="5">
        <v>5409</v>
      </c>
      <c r="B220" s="3" t="s">
        <v>190</v>
      </c>
      <c r="C220" s="3" t="s">
        <v>29</v>
      </c>
      <c r="D220" s="3" t="s">
        <v>58</v>
      </c>
      <c r="E220" s="3" t="s">
        <v>604</v>
      </c>
      <c r="F220" s="3" t="s">
        <v>605</v>
      </c>
      <c r="G220" s="9">
        <v>525</v>
      </c>
      <c r="H220" s="3" t="s">
        <v>21</v>
      </c>
      <c r="I220" s="4">
        <v>45693</v>
      </c>
      <c r="J220" t="s">
        <v>22</v>
      </c>
      <c r="K220" s="3" t="s">
        <v>23</v>
      </c>
      <c r="L220" s="3" t="s">
        <v>23</v>
      </c>
      <c r="P220" s="3" t="s">
        <v>24</v>
      </c>
      <c r="Q220" t="s">
        <v>606</v>
      </c>
    </row>
    <row r="221" spans="1:17" x14ac:dyDescent="0.25">
      <c r="A221" s="5">
        <v>5410</v>
      </c>
      <c r="B221" s="3" t="s">
        <v>190</v>
      </c>
      <c r="C221" s="3" t="s">
        <v>18</v>
      </c>
      <c r="D221" s="3" t="s">
        <v>58</v>
      </c>
      <c r="E221" s="3" t="s">
        <v>607</v>
      </c>
      <c r="F221" s="3" t="s">
        <v>219</v>
      </c>
      <c r="G221" s="9">
        <v>220</v>
      </c>
      <c r="H221" s="3" t="s">
        <v>21</v>
      </c>
      <c r="I221" s="4">
        <v>45693</v>
      </c>
      <c r="J221" t="s">
        <v>22</v>
      </c>
      <c r="K221" s="3" t="s">
        <v>23</v>
      </c>
      <c r="L221" s="3" t="s">
        <v>23</v>
      </c>
      <c r="P221" s="3" t="s">
        <v>24</v>
      </c>
      <c r="Q221" t="s">
        <v>608</v>
      </c>
    </row>
    <row r="222" spans="1:17" x14ac:dyDescent="0.25">
      <c r="A222" s="5">
        <v>5415</v>
      </c>
      <c r="B222" s="3" t="s">
        <v>76</v>
      </c>
      <c r="C222" s="3" t="s">
        <v>40</v>
      </c>
      <c r="D222" s="3" t="s">
        <v>108</v>
      </c>
      <c r="E222" s="3" t="s">
        <v>609</v>
      </c>
      <c r="F222" s="3" t="s">
        <v>610</v>
      </c>
      <c r="G222" s="9">
        <v>4300</v>
      </c>
      <c r="H222" s="3" t="s">
        <v>21</v>
      </c>
      <c r="I222" s="4">
        <v>45693</v>
      </c>
      <c r="J222" t="s">
        <v>469</v>
      </c>
      <c r="K222" s="3" t="s">
        <v>23</v>
      </c>
      <c r="L222" s="3" t="s">
        <v>23</v>
      </c>
      <c r="M222" s="3" t="s">
        <v>271</v>
      </c>
      <c r="N222" s="3"/>
      <c r="O222" s="3"/>
      <c r="P222" s="3" t="s">
        <v>24</v>
      </c>
      <c r="Q222" t="s">
        <v>611</v>
      </c>
    </row>
    <row r="223" spans="1:17" x14ac:dyDescent="0.25">
      <c r="A223" s="5">
        <v>5416</v>
      </c>
      <c r="B223" s="3" t="s">
        <v>63</v>
      </c>
      <c r="C223" s="3" t="s">
        <v>184</v>
      </c>
      <c r="D223" s="3" t="s">
        <v>64</v>
      </c>
      <c r="E223" s="3">
        <v>21242</v>
      </c>
      <c r="F223" s="3" t="s">
        <v>612</v>
      </c>
      <c r="G223" s="9">
        <v>4500</v>
      </c>
      <c r="H223" s="3" t="s">
        <v>21</v>
      </c>
      <c r="I223" s="4">
        <v>45694</v>
      </c>
      <c r="J223" t="s">
        <v>22</v>
      </c>
      <c r="K223" s="3" t="s">
        <v>23</v>
      </c>
      <c r="L223" s="3" t="s">
        <v>23</v>
      </c>
      <c r="P223" s="3" t="s">
        <v>24</v>
      </c>
    </row>
    <row r="224" spans="1:17" x14ac:dyDescent="0.25">
      <c r="A224" s="5">
        <v>5417</v>
      </c>
      <c r="B224" s="3" t="s">
        <v>190</v>
      </c>
      <c r="C224" s="3" t="s">
        <v>197</v>
      </c>
      <c r="D224" s="3" t="s">
        <v>58</v>
      </c>
      <c r="E224" s="3" t="s">
        <v>613</v>
      </c>
      <c r="F224" s="3" t="s">
        <v>385</v>
      </c>
      <c r="G224" s="9">
        <v>525</v>
      </c>
      <c r="H224" s="3" t="s">
        <v>21</v>
      </c>
      <c r="I224" s="4">
        <v>45693</v>
      </c>
      <c r="J224" t="s">
        <v>22</v>
      </c>
      <c r="K224" s="3" t="s">
        <v>23</v>
      </c>
      <c r="L224" s="3" t="s">
        <v>23</v>
      </c>
      <c r="P224" s="3" t="s">
        <v>24</v>
      </c>
      <c r="Q224" t="s">
        <v>614</v>
      </c>
    </row>
    <row r="225" spans="1:17" x14ac:dyDescent="0.25">
      <c r="A225" s="5">
        <v>5418</v>
      </c>
      <c r="B225" s="3" t="s">
        <v>63</v>
      </c>
      <c r="C225" s="3" t="s">
        <v>40</v>
      </c>
      <c r="D225" s="3" t="s">
        <v>144</v>
      </c>
      <c r="E225" s="3">
        <v>21244</v>
      </c>
      <c r="F225" s="3" t="s">
        <v>615</v>
      </c>
      <c r="G225" s="9">
        <v>3600</v>
      </c>
      <c r="H225" s="3" t="s">
        <v>21</v>
      </c>
      <c r="I225" s="4">
        <v>45697</v>
      </c>
      <c r="J225" t="s">
        <v>469</v>
      </c>
      <c r="K225" s="3" t="s">
        <v>23</v>
      </c>
      <c r="L225" s="3" t="s">
        <v>23</v>
      </c>
      <c r="M225" s="3"/>
      <c r="N225" s="3"/>
      <c r="O225" s="3"/>
      <c r="P225" s="3" t="s">
        <v>24</v>
      </c>
      <c r="Q225" t="s">
        <v>616</v>
      </c>
    </row>
    <row r="226" spans="1:17" x14ac:dyDescent="0.25">
      <c r="A226" s="5">
        <v>5419</v>
      </c>
      <c r="B226" s="3" t="s">
        <v>63</v>
      </c>
      <c r="C226" s="3" t="s">
        <v>40</v>
      </c>
      <c r="D226" s="3" t="s">
        <v>144</v>
      </c>
      <c r="E226" s="3">
        <v>21243</v>
      </c>
      <c r="F226" s="3" t="s">
        <v>617</v>
      </c>
      <c r="G226" s="9">
        <v>6900</v>
      </c>
      <c r="H226" s="3" t="s">
        <v>21</v>
      </c>
      <c r="I226" s="4">
        <v>45697</v>
      </c>
      <c r="J226" t="s">
        <v>469</v>
      </c>
      <c r="K226" s="3" t="s">
        <v>23</v>
      </c>
      <c r="L226" s="3" t="s">
        <v>23</v>
      </c>
      <c r="M226" s="3"/>
      <c r="N226" s="3"/>
      <c r="O226" s="3"/>
      <c r="P226" s="3" t="s">
        <v>24</v>
      </c>
      <c r="Q226" t="s">
        <v>618</v>
      </c>
    </row>
    <row r="227" spans="1:17" x14ac:dyDescent="0.25">
      <c r="A227" s="5">
        <v>5428</v>
      </c>
      <c r="B227" s="3" t="s">
        <v>190</v>
      </c>
      <c r="C227" s="3" t="s">
        <v>40</v>
      </c>
      <c r="D227" s="3" t="s">
        <v>58</v>
      </c>
      <c r="E227" s="3" t="s">
        <v>619</v>
      </c>
      <c r="F227" s="3" t="s">
        <v>620</v>
      </c>
      <c r="G227" s="9">
        <v>1480</v>
      </c>
      <c r="H227" s="3" t="s">
        <v>21</v>
      </c>
      <c r="I227" s="4">
        <v>45698</v>
      </c>
      <c r="J227" t="s">
        <v>22</v>
      </c>
      <c r="K227" s="3" t="s">
        <v>23</v>
      </c>
      <c r="L227" s="3" t="s">
        <v>23</v>
      </c>
      <c r="P227" s="3" t="s">
        <v>24</v>
      </c>
      <c r="Q227" t="s">
        <v>621</v>
      </c>
    </row>
    <row r="228" spans="1:17" x14ac:dyDescent="0.25">
      <c r="A228" s="5">
        <v>5429</v>
      </c>
      <c r="B228" s="3" t="s">
        <v>190</v>
      </c>
      <c r="C228" s="3" t="s">
        <v>31</v>
      </c>
      <c r="D228" s="3" t="s">
        <v>58</v>
      </c>
      <c r="E228" s="3" t="s">
        <v>622</v>
      </c>
      <c r="F228" s="3" t="s">
        <v>309</v>
      </c>
      <c r="G228" s="9">
        <v>350</v>
      </c>
      <c r="H228" s="3" t="s">
        <v>21</v>
      </c>
      <c r="I228" s="4">
        <v>45698</v>
      </c>
      <c r="J228" t="s">
        <v>22</v>
      </c>
      <c r="K228" s="3" t="s">
        <v>23</v>
      </c>
      <c r="L228" s="3" t="s">
        <v>23</v>
      </c>
      <c r="P228" s="3" t="s">
        <v>24</v>
      </c>
      <c r="Q228" t="s">
        <v>623</v>
      </c>
    </row>
    <row r="229" spans="1:17" x14ac:dyDescent="0.25">
      <c r="A229" s="5">
        <v>5430</v>
      </c>
      <c r="B229" s="3" t="s">
        <v>17</v>
      </c>
      <c r="C229" s="3" t="s">
        <v>197</v>
      </c>
      <c r="D229" s="3" t="s">
        <v>19</v>
      </c>
      <c r="E229" s="3" t="s">
        <v>624</v>
      </c>
      <c r="F229" s="3" t="s">
        <v>625</v>
      </c>
      <c r="G229" s="9">
        <v>1200</v>
      </c>
      <c r="H229" s="3" t="s">
        <v>21</v>
      </c>
      <c r="I229" s="4">
        <v>45698</v>
      </c>
      <c r="J229" t="s">
        <v>22</v>
      </c>
      <c r="K229" s="3" t="s">
        <v>23</v>
      </c>
      <c r="L229" s="3" t="s">
        <v>23</v>
      </c>
      <c r="P229" s="3" t="s">
        <v>24</v>
      </c>
      <c r="Q229" t="s">
        <v>626</v>
      </c>
    </row>
    <row r="230" spans="1:17" x14ac:dyDescent="0.25">
      <c r="A230" s="5">
        <v>5431</v>
      </c>
      <c r="B230" s="3" t="s">
        <v>17</v>
      </c>
      <c r="C230" s="3" t="s">
        <v>197</v>
      </c>
      <c r="D230" s="3" t="s">
        <v>19</v>
      </c>
      <c r="E230" s="3" t="s">
        <v>627</v>
      </c>
      <c r="F230" s="3" t="s">
        <v>628</v>
      </c>
      <c r="G230" s="9">
        <v>500</v>
      </c>
      <c r="H230" s="3" t="s">
        <v>21</v>
      </c>
      <c r="I230" s="4">
        <v>45698</v>
      </c>
      <c r="J230" t="s">
        <v>22</v>
      </c>
      <c r="K230" s="3" t="s">
        <v>23</v>
      </c>
      <c r="L230" s="3" t="s">
        <v>23</v>
      </c>
      <c r="P230" s="3" t="s">
        <v>24</v>
      </c>
      <c r="Q230" t="s">
        <v>629</v>
      </c>
    </row>
    <row r="231" spans="1:17" x14ac:dyDescent="0.25">
      <c r="A231" s="5">
        <v>5432</v>
      </c>
      <c r="B231" s="3" t="s">
        <v>630</v>
      </c>
      <c r="C231" s="3" t="s">
        <v>631</v>
      </c>
      <c r="D231" s="3" t="s">
        <v>632</v>
      </c>
      <c r="E231" s="3" t="s">
        <v>633</v>
      </c>
      <c r="F231" s="3" t="s">
        <v>634</v>
      </c>
      <c r="G231" s="9">
        <v>10000</v>
      </c>
      <c r="H231" s="3" t="s">
        <v>21</v>
      </c>
      <c r="I231" s="4">
        <v>45701</v>
      </c>
      <c r="J231" s="3" t="s">
        <v>70</v>
      </c>
      <c r="K231" s="3" t="s">
        <v>23</v>
      </c>
      <c r="L231" s="3" t="s">
        <v>23</v>
      </c>
      <c r="P231" s="3" t="s">
        <v>24</v>
      </c>
      <c r="Q231" t="s">
        <v>635</v>
      </c>
    </row>
    <row r="232" spans="1:17" x14ac:dyDescent="0.25">
      <c r="A232" s="5">
        <v>5445</v>
      </c>
      <c r="B232" s="3" t="s">
        <v>601</v>
      </c>
      <c r="C232" s="3" t="s">
        <v>34</v>
      </c>
      <c r="D232" s="3" t="s">
        <v>50</v>
      </c>
      <c r="E232" s="3" t="s">
        <v>636</v>
      </c>
      <c r="F232" s="3" t="s">
        <v>637</v>
      </c>
      <c r="G232" s="9">
        <v>2500</v>
      </c>
      <c r="H232" s="3" t="s">
        <v>21</v>
      </c>
      <c r="I232" s="4">
        <v>45705</v>
      </c>
      <c r="J232" t="s">
        <v>22</v>
      </c>
      <c r="K232" s="3" t="s">
        <v>23</v>
      </c>
      <c r="L232" s="3" t="s">
        <v>23</v>
      </c>
      <c r="P232" s="3" t="s">
        <v>24</v>
      </c>
    </row>
    <row r="233" spans="1:17" x14ac:dyDescent="0.25">
      <c r="A233" s="5">
        <v>5446</v>
      </c>
      <c r="B233" s="3" t="s">
        <v>190</v>
      </c>
      <c r="C233" s="3" t="s">
        <v>40</v>
      </c>
      <c r="D233" s="3" t="s">
        <v>58</v>
      </c>
      <c r="E233" s="3" t="s">
        <v>638</v>
      </c>
      <c r="F233" s="3" t="s">
        <v>639</v>
      </c>
      <c r="G233" s="9">
        <v>840</v>
      </c>
      <c r="H233" s="3" t="s">
        <v>21</v>
      </c>
      <c r="I233" s="4">
        <v>45706</v>
      </c>
      <c r="J233" t="s">
        <v>22</v>
      </c>
      <c r="K233" s="3" t="s">
        <v>23</v>
      </c>
      <c r="L233" s="3" t="s">
        <v>23</v>
      </c>
      <c r="P233" s="3" t="s">
        <v>24</v>
      </c>
      <c r="Q233" t="s">
        <v>640</v>
      </c>
    </row>
    <row r="234" spans="1:17" x14ac:dyDescent="0.25">
      <c r="A234" s="5">
        <v>5447</v>
      </c>
      <c r="B234" s="3" t="s">
        <v>641</v>
      </c>
      <c r="C234" s="3" t="s">
        <v>642</v>
      </c>
      <c r="D234" s="3" t="s">
        <v>108</v>
      </c>
      <c r="E234" s="3" t="s">
        <v>643</v>
      </c>
      <c r="F234" s="3" t="s">
        <v>644</v>
      </c>
      <c r="G234" s="9">
        <v>9000</v>
      </c>
      <c r="H234" s="3" t="s">
        <v>21</v>
      </c>
      <c r="I234" s="4">
        <v>45708</v>
      </c>
      <c r="J234" t="s">
        <v>469</v>
      </c>
      <c r="K234" s="3" t="s">
        <v>23</v>
      </c>
      <c r="L234" s="3" t="s">
        <v>23</v>
      </c>
      <c r="M234" s="3" t="s">
        <v>271</v>
      </c>
      <c r="N234" s="3"/>
      <c r="O234" s="3"/>
      <c r="P234" s="3" t="s">
        <v>24</v>
      </c>
      <c r="Q234" t="s">
        <v>645</v>
      </c>
    </row>
    <row r="235" spans="1:17" x14ac:dyDescent="0.25">
      <c r="A235" s="5">
        <v>5448</v>
      </c>
      <c r="B235" s="3" t="s">
        <v>17</v>
      </c>
      <c r="C235" s="3" t="s">
        <v>29</v>
      </c>
      <c r="D235" s="3" t="s">
        <v>108</v>
      </c>
      <c r="E235" s="3" t="s">
        <v>646</v>
      </c>
      <c r="F235" s="3" t="s">
        <v>647</v>
      </c>
      <c r="G235" s="9">
        <v>1800</v>
      </c>
      <c r="H235" s="3" t="s">
        <v>648</v>
      </c>
      <c r="I235" s="4">
        <v>45714</v>
      </c>
      <c r="J235" t="s">
        <v>469</v>
      </c>
      <c r="K235" s="3" t="s">
        <v>23</v>
      </c>
      <c r="L235" s="3" t="s">
        <v>23</v>
      </c>
      <c r="P235" s="3" t="s">
        <v>24</v>
      </c>
      <c r="Q235" t="s">
        <v>649</v>
      </c>
    </row>
    <row r="236" spans="1:17" x14ac:dyDescent="0.25">
      <c r="A236" s="5">
        <v>5449</v>
      </c>
      <c r="B236" s="3" t="s">
        <v>107</v>
      </c>
      <c r="C236" s="3" t="s">
        <v>40</v>
      </c>
      <c r="D236" s="3" t="s">
        <v>108</v>
      </c>
      <c r="E236" s="3" t="s">
        <v>650</v>
      </c>
      <c r="F236" s="3" t="s">
        <v>651</v>
      </c>
      <c r="G236" s="9">
        <v>1288</v>
      </c>
      <c r="H236" s="3" t="s">
        <v>21</v>
      </c>
      <c r="I236" s="4">
        <v>45714</v>
      </c>
      <c r="J236" t="s">
        <v>469</v>
      </c>
      <c r="K236" s="3" t="s">
        <v>23</v>
      </c>
      <c r="L236" s="3" t="s">
        <v>23</v>
      </c>
      <c r="M236" s="3" t="s">
        <v>652</v>
      </c>
      <c r="N236" s="3"/>
      <c r="O236" s="3"/>
      <c r="P236" s="3" t="s">
        <v>24</v>
      </c>
      <c r="Q236" t="s">
        <v>653</v>
      </c>
    </row>
    <row r="237" spans="1:17" x14ac:dyDescent="0.25">
      <c r="A237" s="5">
        <v>5463</v>
      </c>
      <c r="B237" s="3" t="s">
        <v>630</v>
      </c>
      <c r="C237" s="3" t="s">
        <v>29</v>
      </c>
      <c r="D237" s="3" t="s">
        <v>654</v>
      </c>
      <c r="E237" s="3" t="s">
        <v>655</v>
      </c>
      <c r="F237" s="3" t="s">
        <v>656</v>
      </c>
      <c r="G237" s="9">
        <v>26087</v>
      </c>
      <c r="H237" s="3" t="s">
        <v>21</v>
      </c>
      <c r="I237" s="4">
        <v>45721</v>
      </c>
      <c r="J237" s="13" t="s">
        <v>657</v>
      </c>
      <c r="K237" s="3" t="s">
        <v>23</v>
      </c>
      <c r="L237" s="3" t="s">
        <v>23</v>
      </c>
      <c r="P237" s="3" t="s">
        <v>24</v>
      </c>
    </row>
    <row r="238" spans="1:17" x14ac:dyDescent="0.25">
      <c r="A238" s="5">
        <v>5464</v>
      </c>
      <c r="B238" s="3" t="s">
        <v>17</v>
      </c>
      <c r="C238" s="3" t="s">
        <v>40</v>
      </c>
      <c r="D238" s="3" t="s">
        <v>35</v>
      </c>
      <c r="E238" s="3" t="s">
        <v>658</v>
      </c>
      <c r="F238" s="3" t="s">
        <v>591</v>
      </c>
      <c r="G238" s="9">
        <v>1140</v>
      </c>
      <c r="H238" s="3" t="s">
        <v>21</v>
      </c>
      <c r="I238" s="3" t="s">
        <v>659</v>
      </c>
      <c r="J238" t="s">
        <v>469</v>
      </c>
      <c r="K238" s="3" t="s">
        <v>23</v>
      </c>
      <c r="L238" s="3" t="s">
        <v>23</v>
      </c>
      <c r="P238" s="3" t="s">
        <v>24</v>
      </c>
      <c r="Q238" t="s">
        <v>660</v>
      </c>
    </row>
    <row r="239" spans="1:17" x14ac:dyDescent="0.25">
      <c r="A239" s="5">
        <v>5465</v>
      </c>
      <c r="B239" s="3" t="s">
        <v>190</v>
      </c>
      <c r="C239" s="3" t="s">
        <v>197</v>
      </c>
      <c r="D239" s="3" t="s">
        <v>58</v>
      </c>
      <c r="E239" s="3" t="s">
        <v>661</v>
      </c>
      <c r="F239" s="3" t="s">
        <v>385</v>
      </c>
      <c r="G239" s="9">
        <v>440</v>
      </c>
      <c r="H239" s="3" t="s">
        <v>21</v>
      </c>
      <c r="I239" s="4">
        <v>45729</v>
      </c>
      <c r="J239" t="s">
        <v>22</v>
      </c>
      <c r="K239" s="3" t="s">
        <v>23</v>
      </c>
      <c r="L239" s="3" t="s">
        <v>23</v>
      </c>
      <c r="P239" s="3" t="s">
        <v>24</v>
      </c>
      <c r="Q239" t="s">
        <v>662</v>
      </c>
    </row>
    <row r="240" spans="1:17" x14ac:dyDescent="0.25">
      <c r="A240" s="5">
        <v>5466</v>
      </c>
      <c r="B240" s="3" t="s">
        <v>190</v>
      </c>
      <c r="C240" s="3" t="s">
        <v>184</v>
      </c>
      <c r="D240" s="3" t="s">
        <v>58</v>
      </c>
      <c r="E240" s="3" t="s">
        <v>663</v>
      </c>
      <c r="F240" s="3" t="s">
        <v>664</v>
      </c>
      <c r="G240" s="9">
        <v>75</v>
      </c>
      <c r="H240" s="3" t="s">
        <v>21</v>
      </c>
      <c r="I240" s="4">
        <v>45729</v>
      </c>
      <c r="J240" t="s">
        <v>22</v>
      </c>
      <c r="K240" s="3" t="s">
        <v>23</v>
      </c>
      <c r="L240" s="3" t="s">
        <v>23</v>
      </c>
      <c r="P240" s="3" t="s">
        <v>24</v>
      </c>
      <c r="Q240" t="s">
        <v>665</v>
      </c>
    </row>
    <row r="241" spans="1:17" x14ac:dyDescent="0.25">
      <c r="A241" s="5">
        <v>5467</v>
      </c>
      <c r="B241" s="3" t="s">
        <v>190</v>
      </c>
      <c r="C241" s="3" t="s">
        <v>31</v>
      </c>
      <c r="D241" s="3" t="s">
        <v>58</v>
      </c>
      <c r="E241" s="3" t="s">
        <v>666</v>
      </c>
      <c r="F241" s="3" t="s">
        <v>667</v>
      </c>
      <c r="G241" s="9">
        <v>650</v>
      </c>
      <c r="H241" s="3" t="s">
        <v>21</v>
      </c>
      <c r="I241" s="4">
        <v>45729</v>
      </c>
      <c r="J241" t="s">
        <v>22</v>
      </c>
      <c r="K241" s="3" t="s">
        <v>23</v>
      </c>
      <c r="L241" s="3" t="s">
        <v>23</v>
      </c>
      <c r="P241" s="3" t="s">
        <v>24</v>
      </c>
      <c r="Q241" t="s">
        <v>668</v>
      </c>
    </row>
    <row r="242" spans="1:17" x14ac:dyDescent="0.25">
      <c r="A242" s="5">
        <v>5484</v>
      </c>
      <c r="B242" s="3" t="s">
        <v>190</v>
      </c>
      <c r="C242" s="3" t="s">
        <v>31</v>
      </c>
      <c r="D242" s="3" t="s">
        <v>58</v>
      </c>
      <c r="E242" s="3" t="s">
        <v>669</v>
      </c>
      <c r="F242" s="3" t="s">
        <v>670</v>
      </c>
      <c r="G242" s="9">
        <v>400</v>
      </c>
      <c r="H242" s="3" t="s">
        <v>21</v>
      </c>
      <c r="I242" s="4">
        <v>45729</v>
      </c>
      <c r="J242" t="s">
        <v>22</v>
      </c>
      <c r="K242" s="3" t="s">
        <v>23</v>
      </c>
      <c r="L242" s="3" t="s">
        <v>23</v>
      </c>
      <c r="P242" s="3" t="s">
        <v>24</v>
      </c>
      <c r="Q242" t="s">
        <v>671</v>
      </c>
    </row>
    <row r="243" spans="1:17" x14ac:dyDescent="0.25">
      <c r="A243" s="5">
        <v>5485</v>
      </c>
      <c r="B243" s="3" t="s">
        <v>190</v>
      </c>
      <c r="C243" s="3" t="s">
        <v>40</v>
      </c>
      <c r="D243" s="3" t="s">
        <v>58</v>
      </c>
      <c r="E243" s="3" t="s">
        <v>672</v>
      </c>
      <c r="F243" s="3" t="s">
        <v>673</v>
      </c>
      <c r="G243" s="9">
        <v>350</v>
      </c>
      <c r="H243" s="3" t="s">
        <v>21</v>
      </c>
      <c r="I243" s="4">
        <v>45729</v>
      </c>
      <c r="J243" t="s">
        <v>22</v>
      </c>
      <c r="K243" s="3" t="s">
        <v>23</v>
      </c>
      <c r="L243" s="3" t="s">
        <v>23</v>
      </c>
      <c r="P243" s="3" t="s">
        <v>24</v>
      </c>
      <c r="Q243" t="s">
        <v>674</v>
      </c>
    </row>
    <row r="244" spans="1:17" x14ac:dyDescent="0.25">
      <c r="A244" s="5">
        <v>5486</v>
      </c>
      <c r="B244" s="3" t="s">
        <v>523</v>
      </c>
      <c r="C244" s="3" t="s">
        <v>40</v>
      </c>
      <c r="D244" s="3" t="s">
        <v>50</v>
      </c>
      <c r="E244" s="3" t="s">
        <v>675</v>
      </c>
      <c r="F244" s="3" t="s">
        <v>676</v>
      </c>
      <c r="G244" s="9">
        <v>1070</v>
      </c>
      <c r="H244" s="3" t="s">
        <v>21</v>
      </c>
      <c r="I244" s="4">
        <v>45732</v>
      </c>
      <c r="J244" t="s">
        <v>22</v>
      </c>
      <c r="K244" s="3" t="s">
        <v>23</v>
      </c>
      <c r="L244" s="3" t="s">
        <v>23</v>
      </c>
      <c r="P244" s="3" t="s">
        <v>24</v>
      </c>
      <c r="Q244" t="s">
        <v>677</v>
      </c>
    </row>
    <row r="245" spans="1:17" x14ac:dyDescent="0.25">
      <c r="A245" s="5">
        <v>5487</v>
      </c>
      <c r="B245" s="3" t="s">
        <v>76</v>
      </c>
      <c r="C245" s="3" t="s">
        <v>18</v>
      </c>
      <c r="D245" s="3" t="s">
        <v>108</v>
      </c>
      <c r="E245" s="3" t="s">
        <v>678</v>
      </c>
      <c r="F245" s="3" t="s">
        <v>610</v>
      </c>
      <c r="G245" s="9">
        <v>4300</v>
      </c>
      <c r="H245" s="3" t="s">
        <v>21</v>
      </c>
      <c r="I245" s="4">
        <v>45734</v>
      </c>
      <c r="J245" t="s">
        <v>469</v>
      </c>
      <c r="K245" s="3" t="s">
        <v>23</v>
      </c>
      <c r="L245" s="3" t="s">
        <v>23</v>
      </c>
      <c r="M245" s="3"/>
      <c r="N245" s="3"/>
      <c r="O245" s="3"/>
      <c r="P245" s="3" t="s">
        <v>24</v>
      </c>
      <c r="Q245" t="s">
        <v>679</v>
      </c>
    </row>
    <row r="246" spans="1:17" x14ac:dyDescent="0.25">
      <c r="A246" s="5">
        <v>5488</v>
      </c>
      <c r="B246" s="3" t="s">
        <v>17</v>
      </c>
      <c r="C246" s="3" t="s">
        <v>40</v>
      </c>
      <c r="D246" s="3" t="s">
        <v>19</v>
      </c>
      <c r="E246" s="3" t="s">
        <v>680</v>
      </c>
      <c r="F246" s="3" t="s">
        <v>681</v>
      </c>
      <c r="G246" s="9">
        <v>1200</v>
      </c>
      <c r="H246" s="3" t="s">
        <v>21</v>
      </c>
      <c r="I246" s="4">
        <v>45739</v>
      </c>
      <c r="J246" t="s">
        <v>22</v>
      </c>
      <c r="K246" s="3" t="s">
        <v>23</v>
      </c>
      <c r="L246" s="3" t="s">
        <v>23</v>
      </c>
      <c r="P246" s="3" t="s">
        <v>24</v>
      </c>
      <c r="Q246" t="s">
        <v>682</v>
      </c>
    </row>
    <row r="247" spans="1:17" x14ac:dyDescent="0.25">
      <c r="A247" s="5">
        <v>5503</v>
      </c>
      <c r="B247" s="3" t="s">
        <v>76</v>
      </c>
      <c r="C247" s="3" t="s">
        <v>40</v>
      </c>
      <c r="D247" s="3" t="s">
        <v>77</v>
      </c>
      <c r="E247" s="3" t="s">
        <v>683</v>
      </c>
      <c r="F247" s="3" t="s">
        <v>684</v>
      </c>
      <c r="G247" s="9">
        <v>2250</v>
      </c>
      <c r="H247" s="3" t="s">
        <v>21</v>
      </c>
      <c r="I247" s="4">
        <v>45740</v>
      </c>
      <c r="J247" t="s">
        <v>469</v>
      </c>
      <c r="K247" s="3" t="s">
        <v>23</v>
      </c>
      <c r="L247" s="3" t="s">
        <v>23</v>
      </c>
      <c r="M247" s="3"/>
      <c r="N247" s="3"/>
      <c r="O247" s="3"/>
      <c r="P247" s="3" t="s">
        <v>24</v>
      </c>
      <c r="Q247" t="s">
        <v>685</v>
      </c>
    </row>
    <row r="248" spans="1:17" x14ac:dyDescent="0.25">
      <c r="A248" s="5">
        <v>5504</v>
      </c>
      <c r="B248" s="3" t="s">
        <v>17</v>
      </c>
      <c r="C248" s="3" t="s">
        <v>197</v>
      </c>
      <c r="D248" s="3" t="s">
        <v>19</v>
      </c>
      <c r="E248" s="3" t="s">
        <v>686</v>
      </c>
      <c r="F248" s="3" t="s">
        <v>687</v>
      </c>
      <c r="G248" s="9">
        <v>1200</v>
      </c>
      <c r="H248" s="3" t="s">
        <v>21</v>
      </c>
      <c r="I248" s="4">
        <v>45740</v>
      </c>
      <c r="J248" t="s">
        <v>22</v>
      </c>
      <c r="K248" s="3" t="s">
        <v>23</v>
      </c>
      <c r="L248" s="3" t="s">
        <v>23</v>
      </c>
      <c r="P248" s="3" t="s">
        <v>24</v>
      </c>
      <c r="Q248" t="s">
        <v>688</v>
      </c>
    </row>
    <row r="249" spans="1:17" x14ac:dyDescent="0.25">
      <c r="A249" s="5">
        <v>5505</v>
      </c>
      <c r="B249" s="3" t="s">
        <v>523</v>
      </c>
      <c r="C249" s="3" t="s">
        <v>40</v>
      </c>
      <c r="D249" s="3" t="s">
        <v>50</v>
      </c>
      <c r="E249" s="3" t="s">
        <v>689</v>
      </c>
      <c r="F249" s="3" t="s">
        <v>690</v>
      </c>
      <c r="G249" s="9">
        <v>1780</v>
      </c>
      <c r="H249" s="3" t="s">
        <v>21</v>
      </c>
      <c r="I249" s="4">
        <v>45741</v>
      </c>
      <c r="J249" t="s">
        <v>22</v>
      </c>
      <c r="K249" s="3" t="s">
        <v>23</v>
      </c>
      <c r="L249" s="3" t="s">
        <v>23</v>
      </c>
      <c r="P249" s="3" t="s">
        <v>24</v>
      </c>
      <c r="Q249" t="s">
        <v>691</v>
      </c>
    </row>
    <row r="250" spans="1:17" x14ac:dyDescent="0.25">
      <c r="A250" s="5">
        <v>5506</v>
      </c>
      <c r="B250" s="3" t="s">
        <v>39</v>
      </c>
      <c r="C250" s="3" t="s">
        <v>18</v>
      </c>
      <c r="D250" s="3" t="s">
        <v>41</v>
      </c>
      <c r="E250" s="3" t="s">
        <v>692</v>
      </c>
      <c r="F250" s="3" t="s">
        <v>693</v>
      </c>
      <c r="G250" s="9">
        <v>590</v>
      </c>
      <c r="H250" s="3" t="s">
        <v>21</v>
      </c>
      <c r="I250" s="4">
        <v>45745</v>
      </c>
      <c r="J250" t="s">
        <v>22</v>
      </c>
      <c r="K250" s="3" t="s">
        <v>23</v>
      </c>
      <c r="L250" s="3" t="s">
        <v>23</v>
      </c>
      <c r="M250" s="3"/>
      <c r="N250" s="3"/>
      <c r="O250" s="3"/>
      <c r="P250" s="3" t="s">
        <v>24</v>
      </c>
      <c r="Q250" t="s">
        <v>694</v>
      </c>
    </row>
    <row r="251" spans="1:17" x14ac:dyDescent="0.25">
      <c r="A251" s="5">
        <v>5507</v>
      </c>
      <c r="B251" s="3" t="s">
        <v>63</v>
      </c>
      <c r="C251" s="3" t="s">
        <v>40</v>
      </c>
      <c r="D251" s="3" t="s">
        <v>64</v>
      </c>
      <c r="E251" s="3">
        <v>21188</v>
      </c>
      <c r="F251" s="3" t="s">
        <v>695</v>
      </c>
      <c r="G251" s="9">
        <v>9300</v>
      </c>
      <c r="H251" s="3" t="s">
        <v>21</v>
      </c>
      <c r="I251" s="4">
        <v>45749</v>
      </c>
      <c r="J251" t="s">
        <v>22</v>
      </c>
      <c r="K251" s="3" t="s">
        <v>23</v>
      </c>
      <c r="L251" s="3" t="s">
        <v>23</v>
      </c>
      <c r="M251" s="3"/>
      <c r="N251" s="3"/>
      <c r="O251" s="3"/>
      <c r="P251" s="3" t="s">
        <v>24</v>
      </c>
      <c r="Q251" t="s">
        <v>696</v>
      </c>
    </row>
    <row r="252" spans="1:17" x14ac:dyDescent="0.25">
      <c r="A252" s="5">
        <v>5511</v>
      </c>
      <c r="B252" s="3" t="s">
        <v>63</v>
      </c>
      <c r="C252" s="3" t="s">
        <v>40</v>
      </c>
      <c r="D252" s="3" t="s">
        <v>64</v>
      </c>
      <c r="E252" s="3">
        <v>21203</v>
      </c>
      <c r="F252" s="3" t="s">
        <v>697</v>
      </c>
      <c r="G252" s="9">
        <v>12750</v>
      </c>
      <c r="H252" s="3" t="s">
        <v>21</v>
      </c>
      <c r="I252" s="4">
        <v>45749</v>
      </c>
      <c r="J252" t="s">
        <v>22</v>
      </c>
      <c r="K252" s="3" t="s">
        <v>23</v>
      </c>
      <c r="L252" s="3" t="s">
        <v>23</v>
      </c>
      <c r="P252" s="3" t="s">
        <v>24</v>
      </c>
      <c r="Q252" t="s">
        <v>698</v>
      </c>
    </row>
    <row r="253" spans="1:17" x14ac:dyDescent="0.25">
      <c r="A253" s="5">
        <v>5512</v>
      </c>
      <c r="B253" s="3" t="s">
        <v>190</v>
      </c>
      <c r="C253" s="3" t="s">
        <v>40</v>
      </c>
      <c r="D253" s="3" t="s">
        <v>58</v>
      </c>
      <c r="E253" s="3" t="s">
        <v>699</v>
      </c>
      <c r="F253" s="3" t="s">
        <v>700</v>
      </c>
      <c r="G253" s="9">
        <v>550</v>
      </c>
      <c r="H253" s="3" t="s">
        <v>21</v>
      </c>
      <c r="I253" s="4">
        <v>45753</v>
      </c>
      <c r="J253" t="s">
        <v>22</v>
      </c>
      <c r="K253" s="3" t="s">
        <v>23</v>
      </c>
      <c r="L253" s="3" t="s">
        <v>23</v>
      </c>
      <c r="P253" s="3" t="s">
        <v>24</v>
      </c>
      <c r="Q253" t="s">
        <v>701</v>
      </c>
    </row>
    <row r="254" spans="1:17" x14ac:dyDescent="0.25">
      <c r="A254" s="5">
        <v>5513</v>
      </c>
      <c r="B254" s="3" t="s">
        <v>190</v>
      </c>
      <c r="C254" s="3" t="s">
        <v>184</v>
      </c>
      <c r="D254" s="3" t="s">
        <v>58</v>
      </c>
      <c r="E254" s="3" t="s">
        <v>702</v>
      </c>
      <c r="F254" s="3" t="s">
        <v>555</v>
      </c>
      <c r="G254" s="9">
        <v>2700</v>
      </c>
      <c r="H254" s="3" t="s">
        <v>21</v>
      </c>
      <c r="I254" s="4">
        <v>45753</v>
      </c>
      <c r="J254" t="s">
        <v>22</v>
      </c>
      <c r="K254" s="3" t="s">
        <v>23</v>
      </c>
      <c r="L254" s="3" t="s">
        <v>23</v>
      </c>
      <c r="P254" s="3" t="s">
        <v>24</v>
      </c>
      <c r="Q254" t="s">
        <v>703</v>
      </c>
    </row>
    <row r="255" spans="1:17" x14ac:dyDescent="0.25">
      <c r="A255" s="5">
        <v>5514</v>
      </c>
      <c r="B255" s="3" t="s">
        <v>190</v>
      </c>
      <c r="C255" s="3" t="s">
        <v>40</v>
      </c>
      <c r="D255" s="3" t="s">
        <v>58</v>
      </c>
      <c r="E255" s="3" t="s">
        <v>704</v>
      </c>
      <c r="F255" s="3" t="s">
        <v>664</v>
      </c>
      <c r="G255" s="9">
        <v>660</v>
      </c>
      <c r="H255" s="3" t="s">
        <v>21</v>
      </c>
      <c r="I255" s="4">
        <v>45753</v>
      </c>
      <c r="J255" t="s">
        <v>22</v>
      </c>
      <c r="K255" s="3" t="s">
        <v>23</v>
      </c>
      <c r="L255" s="3" t="s">
        <v>23</v>
      </c>
      <c r="P255" s="3" t="s">
        <v>24</v>
      </c>
      <c r="Q255" t="s">
        <v>705</v>
      </c>
    </row>
    <row r="256" spans="1:17" x14ac:dyDescent="0.25">
      <c r="A256" s="5">
        <v>5515</v>
      </c>
      <c r="B256" s="3" t="s">
        <v>190</v>
      </c>
      <c r="C256" s="3" t="s">
        <v>40</v>
      </c>
      <c r="D256" s="3" t="s">
        <v>58</v>
      </c>
      <c r="E256" s="3" t="s">
        <v>706</v>
      </c>
      <c r="F256" s="3" t="s">
        <v>707</v>
      </c>
      <c r="G256" s="9">
        <v>1950</v>
      </c>
      <c r="H256" s="3" t="s">
        <v>21</v>
      </c>
      <c r="I256" s="4">
        <v>45753</v>
      </c>
      <c r="J256" t="s">
        <v>22</v>
      </c>
      <c r="K256" s="3" t="s">
        <v>23</v>
      </c>
      <c r="L256" s="3" t="s">
        <v>23</v>
      </c>
      <c r="P256" s="3" t="s">
        <v>24</v>
      </c>
      <c r="Q256" t="s">
        <v>708</v>
      </c>
    </row>
    <row r="257" spans="1:17" x14ac:dyDescent="0.25">
      <c r="A257" s="5">
        <v>5526</v>
      </c>
      <c r="B257" s="3" t="s">
        <v>190</v>
      </c>
      <c r="C257" s="3" t="s">
        <v>184</v>
      </c>
      <c r="D257" s="3" t="s">
        <v>58</v>
      </c>
      <c r="E257" s="3" t="s">
        <v>709</v>
      </c>
      <c r="F257" s="3" t="s">
        <v>710</v>
      </c>
      <c r="G257" s="9">
        <v>3400</v>
      </c>
      <c r="H257" s="3" t="s">
        <v>21</v>
      </c>
      <c r="I257" s="4">
        <v>45756</v>
      </c>
      <c r="J257" t="s">
        <v>22</v>
      </c>
      <c r="K257" s="3" t="s">
        <v>23</v>
      </c>
      <c r="L257" s="3" t="s">
        <v>23</v>
      </c>
      <c r="P257" s="3" t="s">
        <v>24</v>
      </c>
      <c r="Q257" t="s">
        <v>711</v>
      </c>
    </row>
    <row r="258" spans="1:17" x14ac:dyDescent="0.25">
      <c r="A258" s="5">
        <v>5527</v>
      </c>
      <c r="B258" s="3" t="s">
        <v>641</v>
      </c>
      <c r="C258" s="3" t="s">
        <v>31</v>
      </c>
      <c r="D258" s="3" t="s">
        <v>108</v>
      </c>
      <c r="E258" s="3">
        <v>5852545</v>
      </c>
      <c r="F258" s="3" t="s">
        <v>712</v>
      </c>
      <c r="G258" s="9">
        <v>5000</v>
      </c>
      <c r="H258" s="3" t="s">
        <v>21</v>
      </c>
      <c r="I258" s="4">
        <v>45760</v>
      </c>
      <c r="J258" t="s">
        <v>469</v>
      </c>
      <c r="K258" s="3" t="s">
        <v>23</v>
      </c>
      <c r="L258" s="3" t="s">
        <v>23</v>
      </c>
      <c r="M258" s="3" t="s">
        <v>271</v>
      </c>
      <c r="N258" s="3"/>
      <c r="O258" s="3"/>
      <c r="P258" s="3" t="s">
        <v>24</v>
      </c>
      <c r="Q258" t="s">
        <v>713</v>
      </c>
    </row>
    <row r="259" spans="1:17" x14ac:dyDescent="0.25">
      <c r="A259" s="5">
        <v>5528</v>
      </c>
      <c r="B259" s="3" t="s">
        <v>39</v>
      </c>
      <c r="C259" s="3" t="s">
        <v>31</v>
      </c>
      <c r="D259" s="3" t="s">
        <v>50</v>
      </c>
      <c r="E259" s="3" t="s">
        <v>714</v>
      </c>
      <c r="F259" s="3" t="s">
        <v>715</v>
      </c>
      <c r="G259" s="9">
        <v>650</v>
      </c>
      <c r="H259" s="3" t="s">
        <v>21</v>
      </c>
      <c r="I259" s="4">
        <v>45761</v>
      </c>
      <c r="J259" t="s">
        <v>22</v>
      </c>
      <c r="K259" s="3" t="s">
        <v>23</v>
      </c>
      <c r="L259" s="3" t="s">
        <v>23</v>
      </c>
      <c r="P259" s="3" t="s">
        <v>24</v>
      </c>
      <c r="Q259" t="s">
        <v>716</v>
      </c>
    </row>
    <row r="260" spans="1:17" x14ac:dyDescent="0.25">
      <c r="A260" s="5">
        <v>5529</v>
      </c>
      <c r="B260" s="3" t="s">
        <v>107</v>
      </c>
      <c r="C260" s="3" t="s">
        <v>717</v>
      </c>
      <c r="D260" s="3" t="s">
        <v>108</v>
      </c>
      <c r="E260" s="3" t="s">
        <v>718</v>
      </c>
      <c r="F260" s="3" t="s">
        <v>719</v>
      </c>
      <c r="G260" s="9">
        <v>13735</v>
      </c>
      <c r="H260" s="3" t="s">
        <v>21</v>
      </c>
      <c r="I260" s="4">
        <v>45761</v>
      </c>
      <c r="J260" t="s">
        <v>469</v>
      </c>
      <c r="K260" s="3" t="s">
        <v>23</v>
      </c>
      <c r="L260" s="3" t="s">
        <v>23</v>
      </c>
      <c r="M260" s="3"/>
      <c r="N260" s="3"/>
      <c r="O260" s="3"/>
      <c r="P260" s="3" t="s">
        <v>24</v>
      </c>
      <c r="Q260" t="s">
        <v>720</v>
      </c>
    </row>
    <row r="261" spans="1:17" x14ac:dyDescent="0.25">
      <c r="A261" s="5">
        <v>5530</v>
      </c>
      <c r="B261" s="3" t="s">
        <v>63</v>
      </c>
      <c r="C261" s="3" t="s">
        <v>29</v>
      </c>
      <c r="D261" s="3" t="s">
        <v>64</v>
      </c>
      <c r="E261" s="3">
        <v>21281</v>
      </c>
      <c r="F261" s="3" t="s">
        <v>721</v>
      </c>
      <c r="G261" s="9">
        <v>6500</v>
      </c>
      <c r="H261" s="3" t="s">
        <v>21</v>
      </c>
      <c r="I261" s="4">
        <v>45768</v>
      </c>
      <c r="J261" t="s">
        <v>469</v>
      </c>
      <c r="K261" s="3" t="s">
        <v>23</v>
      </c>
      <c r="L261" s="3" t="s">
        <v>23</v>
      </c>
      <c r="M261" s="3"/>
      <c r="N261" s="3"/>
      <c r="O261" s="3"/>
      <c r="P261" s="3" t="s">
        <v>24</v>
      </c>
      <c r="Q261" t="s">
        <v>722</v>
      </c>
    </row>
    <row r="262" spans="1:17" x14ac:dyDescent="0.25">
      <c r="A262" s="5">
        <v>5541</v>
      </c>
      <c r="B262" s="3" t="s">
        <v>723</v>
      </c>
      <c r="C262" s="3" t="s">
        <v>197</v>
      </c>
      <c r="D262" s="3" t="s">
        <v>64</v>
      </c>
      <c r="E262" s="3">
        <v>21278</v>
      </c>
      <c r="F262" s="3" t="s">
        <v>724</v>
      </c>
      <c r="G262" s="9">
        <v>18000</v>
      </c>
      <c r="H262" s="3" t="s">
        <v>21</v>
      </c>
      <c r="I262" s="4">
        <v>45781</v>
      </c>
      <c r="J262" t="s">
        <v>90</v>
      </c>
      <c r="K262" s="3" t="s">
        <v>23</v>
      </c>
      <c r="L262" s="3" t="s">
        <v>23</v>
      </c>
      <c r="M262" s="3"/>
      <c r="N262" s="3"/>
      <c r="O262" s="3"/>
      <c r="P262" s="3" t="s">
        <v>24</v>
      </c>
      <c r="Q262" t="s">
        <v>725</v>
      </c>
    </row>
    <row r="263" spans="1:17" x14ac:dyDescent="0.25">
      <c r="A263" s="5">
        <v>5542</v>
      </c>
      <c r="B263" s="3" t="s">
        <v>39</v>
      </c>
      <c r="C263" s="3" t="s">
        <v>31</v>
      </c>
      <c r="D263" s="3" t="s">
        <v>50</v>
      </c>
      <c r="E263" s="3" t="s">
        <v>726</v>
      </c>
      <c r="F263" s="3" t="s">
        <v>727</v>
      </c>
      <c r="G263" s="9">
        <v>350</v>
      </c>
      <c r="H263" s="3" t="s">
        <v>21</v>
      </c>
      <c r="I263" s="4">
        <v>45774</v>
      </c>
      <c r="J263" t="s">
        <v>22</v>
      </c>
      <c r="K263" s="3" t="s">
        <v>23</v>
      </c>
      <c r="L263" s="3" t="s">
        <v>23</v>
      </c>
      <c r="P263" s="3" t="s">
        <v>24</v>
      </c>
      <c r="Q263" t="s">
        <v>728</v>
      </c>
    </row>
    <row r="264" spans="1:17" x14ac:dyDescent="0.25">
      <c r="A264" s="5">
        <v>5543</v>
      </c>
      <c r="B264" s="3" t="s">
        <v>729</v>
      </c>
      <c r="C264" s="3" t="s">
        <v>184</v>
      </c>
      <c r="D264" s="3" t="s">
        <v>108</v>
      </c>
      <c r="E264" s="3" t="s">
        <v>730</v>
      </c>
      <c r="F264" s="3" t="s">
        <v>731</v>
      </c>
      <c r="G264" s="9">
        <v>1620</v>
      </c>
      <c r="H264" s="3" t="s">
        <v>21</v>
      </c>
      <c r="I264" s="4">
        <v>45774</v>
      </c>
      <c r="J264" t="s">
        <v>469</v>
      </c>
      <c r="K264" s="3" t="s">
        <v>23</v>
      </c>
      <c r="L264" s="3" t="s">
        <v>23</v>
      </c>
      <c r="M264" s="3" t="s">
        <v>271</v>
      </c>
      <c r="N264" s="3"/>
      <c r="O264" s="3"/>
      <c r="P264" s="3" t="s">
        <v>24</v>
      </c>
      <c r="Q264" t="s">
        <v>732</v>
      </c>
    </row>
    <row r="265" spans="1:17" x14ac:dyDescent="0.25">
      <c r="A265" s="5">
        <v>5544</v>
      </c>
      <c r="B265" s="3" t="s">
        <v>17</v>
      </c>
      <c r="C265" s="3" t="s">
        <v>40</v>
      </c>
      <c r="D265" s="3" t="s">
        <v>19</v>
      </c>
      <c r="E265" s="3" t="s">
        <v>733</v>
      </c>
      <c r="F265" s="3" t="s">
        <v>405</v>
      </c>
      <c r="G265" s="9">
        <v>180</v>
      </c>
      <c r="H265" s="3" t="s">
        <v>21</v>
      </c>
      <c r="I265" s="4">
        <v>45774</v>
      </c>
      <c r="J265" t="s">
        <v>22</v>
      </c>
      <c r="K265" s="3" t="s">
        <v>23</v>
      </c>
      <c r="L265" s="3" t="s">
        <v>23</v>
      </c>
      <c r="P265" s="3" t="s">
        <v>24</v>
      </c>
    </row>
    <row r="266" spans="1:17" x14ac:dyDescent="0.25">
      <c r="A266" s="5">
        <v>5545</v>
      </c>
      <c r="B266" s="3" t="s">
        <v>729</v>
      </c>
      <c r="C266" s="3" t="s">
        <v>197</v>
      </c>
      <c r="D266" s="3" t="s">
        <v>108</v>
      </c>
      <c r="E266" s="3" t="s">
        <v>734</v>
      </c>
      <c r="F266" s="3" t="s">
        <v>735</v>
      </c>
      <c r="G266" s="9">
        <v>10980</v>
      </c>
      <c r="H266" s="3" t="s">
        <v>21</v>
      </c>
      <c r="I266" s="4">
        <v>45776</v>
      </c>
      <c r="J266" t="s">
        <v>469</v>
      </c>
      <c r="K266" s="3" t="s">
        <v>23</v>
      </c>
      <c r="L266" s="3" t="s">
        <v>23</v>
      </c>
      <c r="P266" s="3" t="s">
        <v>24</v>
      </c>
      <c r="Q266" t="s">
        <v>736</v>
      </c>
    </row>
    <row r="267" spans="1:17" x14ac:dyDescent="0.25">
      <c r="A267" s="5">
        <v>5549</v>
      </c>
      <c r="B267" s="3" t="s">
        <v>190</v>
      </c>
      <c r="C267" s="3" t="s">
        <v>29</v>
      </c>
      <c r="D267" s="3" t="s">
        <v>58</v>
      </c>
      <c r="E267" s="3" t="s">
        <v>737</v>
      </c>
      <c r="F267" s="3" t="s">
        <v>738</v>
      </c>
      <c r="G267" s="9">
        <v>950</v>
      </c>
      <c r="H267" s="3" t="s">
        <v>21</v>
      </c>
      <c r="I267" s="4">
        <v>45781</v>
      </c>
      <c r="J267" t="s">
        <v>22</v>
      </c>
      <c r="K267" s="3" t="s">
        <v>23</v>
      </c>
      <c r="L267" s="3" t="s">
        <v>23</v>
      </c>
      <c r="P267" s="3" t="s">
        <v>24</v>
      </c>
      <c r="Q267" t="s">
        <v>739</v>
      </c>
    </row>
    <row r="268" spans="1:17" x14ac:dyDescent="0.25">
      <c r="A268" s="5">
        <v>5550</v>
      </c>
      <c r="B268" s="3" t="s">
        <v>630</v>
      </c>
      <c r="C268" s="3" t="s">
        <v>184</v>
      </c>
      <c r="D268" s="3" t="s">
        <v>654</v>
      </c>
      <c r="E268" s="3" t="s">
        <v>740</v>
      </c>
      <c r="F268" s="3" t="s">
        <v>741</v>
      </c>
      <c r="G268" s="9">
        <v>25000</v>
      </c>
      <c r="H268" s="3" t="s">
        <v>21</v>
      </c>
      <c r="I268" s="4">
        <v>45783</v>
      </c>
      <c r="J268" t="s">
        <v>90</v>
      </c>
      <c r="K268" s="3" t="s">
        <v>23</v>
      </c>
      <c r="L268" s="3" t="s">
        <v>23</v>
      </c>
      <c r="M268" s="3" t="s">
        <v>271</v>
      </c>
      <c r="N268" s="3"/>
      <c r="O268" s="3"/>
      <c r="P268" s="3" t="s">
        <v>24</v>
      </c>
      <c r="Q268" t="s">
        <v>742</v>
      </c>
    </row>
    <row r="269" spans="1:17" x14ac:dyDescent="0.25">
      <c r="A269" s="5">
        <v>5551</v>
      </c>
      <c r="B269" s="3" t="s">
        <v>159</v>
      </c>
      <c r="C269" s="3" t="s">
        <v>197</v>
      </c>
      <c r="D269" s="3" t="s">
        <v>156</v>
      </c>
      <c r="E269" s="3" t="s">
        <v>743</v>
      </c>
      <c r="F269" s="3" t="s">
        <v>247</v>
      </c>
      <c r="G269" s="9">
        <v>900</v>
      </c>
      <c r="H269" s="3" t="s">
        <v>21</v>
      </c>
      <c r="I269" s="4">
        <v>45783</v>
      </c>
      <c r="J269" t="s">
        <v>22</v>
      </c>
      <c r="K269" s="3" t="s">
        <v>23</v>
      </c>
      <c r="L269" s="3" t="s">
        <v>23</v>
      </c>
      <c r="P269" s="3" t="s">
        <v>24</v>
      </c>
      <c r="Q269" t="s">
        <v>744</v>
      </c>
    </row>
    <row r="270" spans="1:17" x14ac:dyDescent="0.25">
      <c r="A270" s="5">
        <v>5552</v>
      </c>
      <c r="B270" s="3" t="s">
        <v>39</v>
      </c>
      <c r="C270" s="3" t="s">
        <v>29</v>
      </c>
      <c r="D270" s="3" t="s">
        <v>41</v>
      </c>
      <c r="E270" s="3" t="s">
        <v>745</v>
      </c>
      <c r="F270" s="3" t="s">
        <v>746</v>
      </c>
      <c r="G270" s="9">
        <v>820</v>
      </c>
      <c r="H270" s="3" t="s">
        <v>21</v>
      </c>
      <c r="I270" s="4">
        <v>45785</v>
      </c>
      <c r="J270" t="s">
        <v>22</v>
      </c>
      <c r="K270" s="3" t="s">
        <v>23</v>
      </c>
      <c r="L270" s="3" t="s">
        <v>23</v>
      </c>
      <c r="P270" s="3" t="s">
        <v>24</v>
      </c>
      <c r="Q270" t="s">
        <v>747</v>
      </c>
    </row>
    <row r="271" spans="1:17" x14ac:dyDescent="0.25">
      <c r="A271" s="5">
        <v>5553</v>
      </c>
      <c r="B271" s="3" t="s">
        <v>76</v>
      </c>
      <c r="C271" s="3" t="s">
        <v>748</v>
      </c>
      <c r="D271" s="3" t="s">
        <v>81</v>
      </c>
      <c r="E271" s="3" t="s">
        <v>749</v>
      </c>
      <c r="F271" s="3" t="s">
        <v>750</v>
      </c>
      <c r="G271" s="9">
        <v>5000</v>
      </c>
      <c r="H271" s="3" t="s">
        <v>21</v>
      </c>
      <c r="I271" s="4">
        <v>45789</v>
      </c>
      <c r="J271" t="s">
        <v>469</v>
      </c>
      <c r="K271" s="3" t="s">
        <v>23</v>
      </c>
      <c r="L271" s="3" t="s">
        <v>23</v>
      </c>
      <c r="P271" s="3" t="s">
        <v>24</v>
      </c>
      <c r="Q271" t="s">
        <v>751</v>
      </c>
    </row>
    <row r="272" spans="1:17" x14ac:dyDescent="0.25">
      <c r="A272" s="5">
        <v>5575</v>
      </c>
      <c r="B272" s="3" t="s">
        <v>190</v>
      </c>
      <c r="C272" s="3" t="s">
        <v>40</v>
      </c>
      <c r="D272" s="3" t="s">
        <v>58</v>
      </c>
      <c r="E272" s="3" t="s">
        <v>752</v>
      </c>
      <c r="F272" s="3" t="s">
        <v>753</v>
      </c>
      <c r="G272" s="9">
        <v>1700</v>
      </c>
      <c r="H272" s="3" t="s">
        <v>21</v>
      </c>
      <c r="I272" s="4">
        <v>45790</v>
      </c>
      <c r="J272" t="s">
        <v>22</v>
      </c>
      <c r="K272" s="3" t="s">
        <v>23</v>
      </c>
      <c r="L272" s="3" t="s">
        <v>23</v>
      </c>
      <c r="P272" s="3" t="s">
        <v>24</v>
      </c>
      <c r="Q272" t="s">
        <v>754</v>
      </c>
    </row>
    <row r="273" spans="1:17" x14ac:dyDescent="0.25">
      <c r="A273" s="5">
        <v>5576</v>
      </c>
      <c r="B273" s="3" t="s">
        <v>729</v>
      </c>
      <c r="C273" s="3" t="s">
        <v>197</v>
      </c>
      <c r="D273" s="3" t="s">
        <v>108</v>
      </c>
      <c r="E273" s="3" t="s">
        <v>755</v>
      </c>
      <c r="F273" s="3" t="s">
        <v>756</v>
      </c>
      <c r="G273" s="9">
        <v>8675</v>
      </c>
      <c r="H273" s="3" t="s">
        <v>21</v>
      </c>
      <c r="I273" s="4">
        <v>45790</v>
      </c>
      <c r="J273" t="s">
        <v>469</v>
      </c>
      <c r="K273" s="3" t="s">
        <v>23</v>
      </c>
      <c r="L273" s="3" t="s">
        <v>23</v>
      </c>
      <c r="P273" s="3" t="s">
        <v>24</v>
      </c>
      <c r="Q273" t="s">
        <v>757</v>
      </c>
    </row>
    <row r="274" spans="1:17" x14ac:dyDescent="0.25">
      <c r="A274" s="5">
        <v>5577</v>
      </c>
      <c r="B274" s="3" t="s">
        <v>190</v>
      </c>
      <c r="C274" s="3" t="s">
        <v>184</v>
      </c>
      <c r="D274" s="3" t="s">
        <v>58</v>
      </c>
      <c r="E274" s="3" t="s">
        <v>758</v>
      </c>
      <c r="F274" s="3" t="s">
        <v>759</v>
      </c>
      <c r="G274" s="9">
        <v>2950</v>
      </c>
      <c r="H274" s="3" t="s">
        <v>21</v>
      </c>
      <c r="I274" s="4">
        <v>45792</v>
      </c>
      <c r="J274" t="s">
        <v>22</v>
      </c>
      <c r="K274" s="3" t="s">
        <v>23</v>
      </c>
      <c r="L274" s="3" t="s">
        <v>23</v>
      </c>
      <c r="P274" s="3" t="s">
        <v>24</v>
      </c>
      <c r="Q274" t="s">
        <v>760</v>
      </c>
    </row>
    <row r="275" spans="1:17" x14ac:dyDescent="0.25">
      <c r="A275" s="5">
        <v>5578</v>
      </c>
      <c r="B275" s="3" t="s">
        <v>761</v>
      </c>
      <c r="C275" s="3" t="s">
        <v>40</v>
      </c>
      <c r="D275" s="3" t="s">
        <v>654</v>
      </c>
      <c r="E275" s="3" t="s">
        <v>762</v>
      </c>
      <c r="F275" s="3" t="s">
        <v>763</v>
      </c>
      <c r="G275" s="9">
        <v>65000</v>
      </c>
      <c r="H275" s="3" t="s">
        <v>21</v>
      </c>
      <c r="I275" s="4">
        <v>45795</v>
      </c>
      <c r="J275" t="s">
        <v>90</v>
      </c>
      <c r="K275" s="3" t="s">
        <v>23</v>
      </c>
      <c r="L275" s="3" t="s">
        <v>23</v>
      </c>
      <c r="M275" s="3" t="s">
        <v>271</v>
      </c>
      <c r="N275" s="3"/>
      <c r="O275" s="3"/>
      <c r="P275" s="3" t="s">
        <v>24</v>
      </c>
      <c r="Q275" t="s">
        <v>765</v>
      </c>
    </row>
    <row r="276" spans="1:17" x14ac:dyDescent="0.25">
      <c r="A276" s="5">
        <v>5579</v>
      </c>
      <c r="B276" s="3" t="s">
        <v>39</v>
      </c>
      <c r="C276" s="3" t="s">
        <v>766</v>
      </c>
      <c r="D276" s="3" t="s">
        <v>41</v>
      </c>
      <c r="E276" s="3" t="s">
        <v>767</v>
      </c>
      <c r="F276" s="3" t="s">
        <v>768</v>
      </c>
      <c r="G276" s="9">
        <v>550</v>
      </c>
      <c r="H276" s="3" t="s">
        <v>21</v>
      </c>
      <c r="I276" s="4">
        <v>45796</v>
      </c>
      <c r="J276" t="s">
        <v>22</v>
      </c>
      <c r="K276" s="3" t="s">
        <v>23</v>
      </c>
      <c r="L276" s="3" t="s">
        <v>23</v>
      </c>
      <c r="P276" s="3" t="s">
        <v>24</v>
      </c>
      <c r="Q276" t="s">
        <v>769</v>
      </c>
    </row>
    <row r="277" spans="1:17" x14ac:dyDescent="0.25">
      <c r="A277" s="5">
        <v>5580</v>
      </c>
      <c r="B277" s="3" t="s">
        <v>17</v>
      </c>
      <c r="C277" s="3" t="s">
        <v>29</v>
      </c>
      <c r="D277" s="3" t="s">
        <v>19</v>
      </c>
      <c r="E277" s="3" t="s">
        <v>770</v>
      </c>
      <c r="F277" s="3" t="s">
        <v>771</v>
      </c>
      <c r="G277" s="9">
        <v>1300</v>
      </c>
      <c r="H277" s="3" t="s">
        <v>21</v>
      </c>
      <c r="I277" s="4">
        <v>45796</v>
      </c>
      <c r="J277" t="s">
        <v>22</v>
      </c>
      <c r="K277" s="3" t="s">
        <v>23</v>
      </c>
      <c r="L277" s="3" t="s">
        <v>23</v>
      </c>
      <c r="P277" s="3" t="s">
        <v>24</v>
      </c>
      <c r="Q277" t="s">
        <v>772</v>
      </c>
    </row>
    <row r="278" spans="1:17" x14ac:dyDescent="0.25">
      <c r="A278" s="5">
        <v>5581</v>
      </c>
      <c r="B278" s="3" t="s">
        <v>190</v>
      </c>
      <c r="C278" s="3" t="s">
        <v>31</v>
      </c>
      <c r="D278" s="3" t="s">
        <v>58</v>
      </c>
      <c r="E278" s="3" t="s">
        <v>773</v>
      </c>
      <c r="F278" s="3" t="s">
        <v>774</v>
      </c>
      <c r="G278" s="9">
        <v>200</v>
      </c>
      <c r="H278" s="3" t="s">
        <v>21</v>
      </c>
      <c r="I278" s="4">
        <v>45796</v>
      </c>
      <c r="J278" t="s">
        <v>22</v>
      </c>
      <c r="K278" s="3" t="s">
        <v>23</v>
      </c>
      <c r="L278" s="3" t="s">
        <v>23</v>
      </c>
      <c r="P278" s="3" t="s">
        <v>24</v>
      </c>
      <c r="Q278" t="s">
        <v>775</v>
      </c>
    </row>
    <row r="279" spans="1:17" x14ac:dyDescent="0.25">
      <c r="A279" s="5">
        <v>5582</v>
      </c>
      <c r="B279" s="3" t="s">
        <v>190</v>
      </c>
      <c r="C279" s="3" t="s">
        <v>29</v>
      </c>
      <c r="D279" s="3" t="s">
        <v>58</v>
      </c>
      <c r="E279" s="3" t="s">
        <v>776</v>
      </c>
      <c r="F279" s="3" t="s">
        <v>777</v>
      </c>
      <c r="G279" s="9">
        <v>465</v>
      </c>
      <c r="H279" s="3" t="s">
        <v>21</v>
      </c>
      <c r="I279" s="4">
        <v>45796</v>
      </c>
      <c r="J279" t="s">
        <v>22</v>
      </c>
      <c r="K279" s="3" t="s">
        <v>23</v>
      </c>
      <c r="L279" s="3" t="s">
        <v>23</v>
      </c>
      <c r="P279" s="3" t="s">
        <v>24</v>
      </c>
      <c r="Q279" t="s">
        <v>778</v>
      </c>
    </row>
    <row r="280" spans="1:17" x14ac:dyDescent="0.25">
      <c r="A280" s="5">
        <v>5583</v>
      </c>
      <c r="B280" s="3" t="s">
        <v>17</v>
      </c>
      <c r="C280" s="3" t="s">
        <v>31</v>
      </c>
      <c r="D280" s="3" t="s">
        <v>35</v>
      </c>
      <c r="E280" s="3" t="s">
        <v>779</v>
      </c>
      <c r="F280" s="3" t="s">
        <v>780</v>
      </c>
      <c r="G280" s="9">
        <v>240</v>
      </c>
      <c r="H280" s="3" t="s">
        <v>21</v>
      </c>
      <c r="I280" s="4">
        <v>45798</v>
      </c>
      <c r="J280" t="s">
        <v>22</v>
      </c>
      <c r="K280" s="3" t="s">
        <v>23</v>
      </c>
      <c r="L280" s="3" t="s">
        <v>23</v>
      </c>
      <c r="P280" s="3" t="s">
        <v>24</v>
      </c>
      <c r="Q280" t="s">
        <v>781</v>
      </c>
    </row>
    <row r="281" spans="1:17" x14ac:dyDescent="0.25">
      <c r="A281" s="5">
        <v>5584</v>
      </c>
      <c r="B281" s="3" t="s">
        <v>17</v>
      </c>
      <c r="C281" s="3" t="s">
        <v>197</v>
      </c>
      <c r="D281" s="3" t="s">
        <v>19</v>
      </c>
      <c r="E281" s="3" t="s">
        <v>782</v>
      </c>
      <c r="F281" s="3" t="s">
        <v>783</v>
      </c>
      <c r="G281" s="9">
        <v>1750</v>
      </c>
      <c r="H281" s="3" t="s">
        <v>21</v>
      </c>
      <c r="I281" s="4">
        <v>45799</v>
      </c>
      <c r="J281" t="s">
        <v>22</v>
      </c>
      <c r="K281" s="3" t="s">
        <v>23</v>
      </c>
      <c r="L281" s="3" t="s">
        <v>23</v>
      </c>
      <c r="P281" s="3" t="s">
        <v>24</v>
      </c>
      <c r="Q281" t="s">
        <v>784</v>
      </c>
    </row>
    <row r="282" spans="1:17" x14ac:dyDescent="0.25">
      <c r="A282" s="5">
        <v>5585</v>
      </c>
      <c r="B282" s="3" t="s">
        <v>39</v>
      </c>
      <c r="C282" s="3" t="s">
        <v>766</v>
      </c>
      <c r="D282" s="3" t="s">
        <v>41</v>
      </c>
      <c r="E282" s="3" t="s">
        <v>767</v>
      </c>
      <c r="F282" s="3" t="s">
        <v>785</v>
      </c>
      <c r="G282" s="9">
        <v>1400</v>
      </c>
      <c r="H282" s="3" t="s">
        <v>21</v>
      </c>
      <c r="I282" s="4">
        <v>45799</v>
      </c>
      <c r="J282" t="s">
        <v>22</v>
      </c>
      <c r="K282" s="3" t="s">
        <v>23</v>
      </c>
      <c r="L282" s="3" t="s">
        <v>23</v>
      </c>
      <c r="P282" s="3" t="s">
        <v>24</v>
      </c>
      <c r="Q282" t="s">
        <v>786</v>
      </c>
    </row>
    <row r="283" spans="1:17" x14ac:dyDescent="0.25">
      <c r="A283" s="5">
        <v>5586</v>
      </c>
      <c r="B283" s="3" t="s">
        <v>17</v>
      </c>
      <c r="C283" s="3" t="s">
        <v>184</v>
      </c>
      <c r="D283" s="3" t="s">
        <v>19</v>
      </c>
      <c r="E283" s="3" t="s">
        <v>787</v>
      </c>
      <c r="F283" s="3" t="s">
        <v>788</v>
      </c>
      <c r="G283" s="9">
        <v>2200</v>
      </c>
      <c r="H283" s="3" t="s">
        <v>21</v>
      </c>
      <c r="I283" s="4">
        <v>45799</v>
      </c>
      <c r="J283" t="s">
        <v>22</v>
      </c>
      <c r="K283" s="3" t="s">
        <v>23</v>
      </c>
      <c r="L283" s="3" t="s">
        <v>23</v>
      </c>
      <c r="P283" s="3" t="s">
        <v>24</v>
      </c>
      <c r="Q283" t="s">
        <v>789</v>
      </c>
    </row>
    <row r="284" spans="1:17" x14ac:dyDescent="0.25">
      <c r="A284" s="5">
        <v>5587</v>
      </c>
      <c r="B284" s="3" t="s">
        <v>39</v>
      </c>
      <c r="C284" s="3" t="s">
        <v>40</v>
      </c>
      <c r="D284" s="3" t="s">
        <v>41</v>
      </c>
      <c r="E284" s="3" t="s">
        <v>790</v>
      </c>
      <c r="F284" s="3" t="s">
        <v>791</v>
      </c>
      <c r="G284" s="9">
        <v>480</v>
      </c>
      <c r="H284" s="3" t="s">
        <v>21</v>
      </c>
      <c r="I284" s="4">
        <v>45802</v>
      </c>
      <c r="J284" t="s">
        <v>22</v>
      </c>
      <c r="K284" s="3" t="s">
        <v>23</v>
      </c>
      <c r="L284" s="3" t="s">
        <v>23</v>
      </c>
      <c r="P284" s="3" t="s">
        <v>24</v>
      </c>
      <c r="Q284" t="s">
        <v>792</v>
      </c>
    </row>
    <row r="285" spans="1:17" ht="15.75" customHeight="1" x14ac:dyDescent="0.25">
      <c r="A285" s="5">
        <v>5588</v>
      </c>
      <c r="B285" s="14" t="s">
        <v>793</v>
      </c>
      <c r="C285" s="3" t="s">
        <v>794</v>
      </c>
      <c r="D285" s="3" t="s">
        <v>108</v>
      </c>
      <c r="E285" s="3" t="s">
        <v>795</v>
      </c>
      <c r="F285" s="3" t="s">
        <v>796</v>
      </c>
      <c r="G285" s="9">
        <v>62068.25</v>
      </c>
      <c r="H285" s="3" t="s">
        <v>21</v>
      </c>
      <c r="I285" s="4">
        <v>45809</v>
      </c>
      <c r="J285" t="s">
        <v>797</v>
      </c>
      <c r="K285" s="3" t="s">
        <v>23</v>
      </c>
      <c r="L285" s="3" t="s">
        <v>23</v>
      </c>
      <c r="M285" s="3" t="s">
        <v>271</v>
      </c>
      <c r="N285" s="3"/>
      <c r="O285" s="3"/>
      <c r="P285" s="3" t="s">
        <v>24</v>
      </c>
      <c r="Q285" t="s">
        <v>798</v>
      </c>
    </row>
    <row r="286" spans="1:17" x14ac:dyDescent="0.25">
      <c r="A286" s="5">
        <v>5589</v>
      </c>
      <c r="B286" s="3" t="s">
        <v>723</v>
      </c>
      <c r="C286" s="3" t="s">
        <v>40</v>
      </c>
      <c r="D286" s="3" t="s">
        <v>64</v>
      </c>
      <c r="E286" s="3">
        <v>21284</v>
      </c>
      <c r="F286" s="3" t="s">
        <v>799</v>
      </c>
      <c r="G286" s="9">
        <v>4500</v>
      </c>
      <c r="H286" s="3" t="s">
        <v>21</v>
      </c>
      <c r="I286" s="4">
        <v>45811</v>
      </c>
      <c r="J286" t="s">
        <v>22</v>
      </c>
      <c r="K286" s="3" t="s">
        <v>23</v>
      </c>
      <c r="L286" s="3" t="s">
        <v>23</v>
      </c>
      <c r="P286" s="3" t="s">
        <v>24</v>
      </c>
      <c r="Q286" t="s">
        <v>800</v>
      </c>
    </row>
    <row r="287" spans="1:17" x14ac:dyDescent="0.25">
      <c r="A287" s="5">
        <v>5605</v>
      </c>
      <c r="B287" s="3" t="s">
        <v>190</v>
      </c>
      <c r="C287" s="3" t="s">
        <v>40</v>
      </c>
      <c r="D287" s="3" t="s">
        <v>58</v>
      </c>
      <c r="E287" s="3" t="s">
        <v>801</v>
      </c>
      <c r="F287" s="3" t="s">
        <v>802</v>
      </c>
      <c r="G287" s="9">
        <v>2800</v>
      </c>
      <c r="H287" s="3" t="s">
        <v>21</v>
      </c>
      <c r="I287" s="4">
        <v>45811</v>
      </c>
      <c r="J287" t="s">
        <v>22</v>
      </c>
      <c r="K287" s="3" t="s">
        <v>23</v>
      </c>
      <c r="L287" s="3" t="s">
        <v>23</v>
      </c>
      <c r="P287" s="3" t="s">
        <v>24</v>
      </c>
      <c r="Q287" t="s">
        <v>803</v>
      </c>
    </row>
    <row r="288" spans="1:17" x14ac:dyDescent="0.25">
      <c r="A288" s="5">
        <v>5606</v>
      </c>
      <c r="B288" s="3" t="s">
        <v>190</v>
      </c>
      <c r="C288" s="3" t="s">
        <v>29</v>
      </c>
      <c r="D288" s="3" t="s">
        <v>58</v>
      </c>
      <c r="E288" s="3" t="s">
        <v>804</v>
      </c>
      <c r="F288" s="3" t="s">
        <v>805</v>
      </c>
      <c r="G288" s="9">
        <v>1200</v>
      </c>
      <c r="H288" s="3" t="s">
        <v>21</v>
      </c>
      <c r="I288" s="4">
        <v>45811</v>
      </c>
      <c r="J288" t="s">
        <v>22</v>
      </c>
      <c r="K288" s="3" t="s">
        <v>23</v>
      </c>
      <c r="L288" s="3" t="s">
        <v>23</v>
      </c>
      <c r="P288" s="3" t="s">
        <v>24</v>
      </c>
      <c r="Q288" t="s">
        <v>806</v>
      </c>
    </row>
    <row r="289" spans="1:17" x14ac:dyDescent="0.25">
      <c r="A289" s="5">
        <v>5607</v>
      </c>
      <c r="B289" s="3" t="s">
        <v>729</v>
      </c>
      <c r="C289" s="3" t="s">
        <v>40</v>
      </c>
      <c r="D289" s="3" t="s">
        <v>108</v>
      </c>
      <c r="E289" s="3" t="s">
        <v>807</v>
      </c>
      <c r="F289" s="3" t="s">
        <v>808</v>
      </c>
      <c r="G289" s="9">
        <v>4500</v>
      </c>
      <c r="H289" s="3" t="s">
        <v>21</v>
      </c>
      <c r="I289" s="4">
        <v>45781</v>
      </c>
      <c r="J289" t="s">
        <v>469</v>
      </c>
      <c r="K289" s="3" t="s">
        <v>23</v>
      </c>
      <c r="L289" s="3" t="s">
        <v>23</v>
      </c>
      <c r="P289" s="3" t="s">
        <v>24</v>
      </c>
      <c r="Q289" t="s">
        <v>809</v>
      </c>
    </row>
    <row r="290" spans="1:17" x14ac:dyDescent="0.25">
      <c r="A290" s="5">
        <v>5608</v>
      </c>
      <c r="B290" s="3" t="s">
        <v>17</v>
      </c>
      <c r="C290" s="3" t="s">
        <v>40</v>
      </c>
      <c r="D290" s="3" t="s">
        <v>19</v>
      </c>
      <c r="E290" s="3" t="s">
        <v>810</v>
      </c>
      <c r="F290" s="3" t="s">
        <v>811</v>
      </c>
      <c r="G290" s="9">
        <v>810</v>
      </c>
      <c r="H290" s="3" t="s">
        <v>21</v>
      </c>
      <c r="I290" s="4">
        <v>45813</v>
      </c>
      <c r="J290" t="s">
        <v>22</v>
      </c>
      <c r="K290" s="3" t="s">
        <v>23</v>
      </c>
      <c r="L290" s="3" t="s">
        <v>23</v>
      </c>
      <c r="P290" s="3" t="s">
        <v>24</v>
      </c>
      <c r="Q290" t="s">
        <v>812</v>
      </c>
    </row>
    <row r="291" spans="1:17" x14ac:dyDescent="0.25">
      <c r="A291" s="5">
        <v>5609</v>
      </c>
      <c r="B291" s="3" t="s">
        <v>190</v>
      </c>
      <c r="C291" s="3" t="s">
        <v>197</v>
      </c>
      <c r="D291" s="3" t="s">
        <v>58</v>
      </c>
      <c r="E291" s="3" t="s">
        <v>813</v>
      </c>
      <c r="F291" s="3" t="s">
        <v>814</v>
      </c>
      <c r="G291" s="9">
        <v>2900</v>
      </c>
      <c r="H291" s="3" t="s">
        <v>21</v>
      </c>
      <c r="I291" s="4">
        <v>45818</v>
      </c>
      <c r="J291" t="s">
        <v>22</v>
      </c>
      <c r="K291" s="3" t="s">
        <v>23</v>
      </c>
      <c r="L291" s="3" t="s">
        <v>23</v>
      </c>
      <c r="P291" s="3" t="s">
        <v>24</v>
      </c>
      <c r="Q291" t="s">
        <v>815</v>
      </c>
    </row>
    <row r="292" spans="1:17" x14ac:dyDescent="0.25">
      <c r="A292" s="5">
        <v>5614</v>
      </c>
      <c r="B292" s="3" t="s">
        <v>723</v>
      </c>
      <c r="C292" s="3" t="s">
        <v>197</v>
      </c>
      <c r="D292" s="3" t="s">
        <v>144</v>
      </c>
      <c r="E292" s="3">
        <v>21295</v>
      </c>
      <c r="F292" s="3" t="s">
        <v>816</v>
      </c>
      <c r="G292" s="9">
        <v>5500</v>
      </c>
      <c r="H292" s="3" t="s">
        <v>21</v>
      </c>
      <c r="I292" s="4">
        <v>45823</v>
      </c>
      <c r="J292" t="s">
        <v>22</v>
      </c>
      <c r="K292" s="3" t="s">
        <v>23</v>
      </c>
      <c r="L292" s="3" t="s">
        <v>23</v>
      </c>
      <c r="P292" s="3" t="s">
        <v>24</v>
      </c>
      <c r="Q292" t="s">
        <v>817</v>
      </c>
    </row>
    <row r="293" spans="1:17" x14ac:dyDescent="0.25">
      <c r="A293" s="5">
        <v>5615</v>
      </c>
      <c r="B293" s="3" t="s">
        <v>723</v>
      </c>
      <c r="C293" s="3" t="s">
        <v>18</v>
      </c>
      <c r="D293" s="3" t="s">
        <v>64</v>
      </c>
      <c r="E293" s="3">
        <v>21294</v>
      </c>
      <c r="F293" s="3" t="s">
        <v>724</v>
      </c>
      <c r="G293" s="9">
        <v>12750</v>
      </c>
      <c r="H293" s="3" t="s">
        <v>21</v>
      </c>
      <c r="I293" s="4">
        <v>45823</v>
      </c>
      <c r="J293" t="s">
        <v>90</v>
      </c>
      <c r="K293" s="3" t="s">
        <v>23</v>
      </c>
      <c r="L293" s="3" t="s">
        <v>23</v>
      </c>
      <c r="M293" s="3" t="s">
        <v>271</v>
      </c>
      <c r="N293" s="3"/>
      <c r="O293" s="3"/>
      <c r="P293" s="3" t="s">
        <v>24</v>
      </c>
      <c r="Q293" t="s">
        <v>818</v>
      </c>
    </row>
    <row r="294" spans="1:17" x14ac:dyDescent="0.25">
      <c r="A294" s="5">
        <v>5616</v>
      </c>
      <c r="B294" s="3" t="s">
        <v>190</v>
      </c>
      <c r="C294" s="3" t="s">
        <v>184</v>
      </c>
      <c r="D294" s="3" t="s">
        <v>58</v>
      </c>
      <c r="E294" s="3" t="s">
        <v>819</v>
      </c>
      <c r="F294" s="3" t="s">
        <v>257</v>
      </c>
      <c r="G294" s="9">
        <v>1950</v>
      </c>
      <c r="H294" s="3" t="s">
        <v>21</v>
      </c>
      <c r="I294" s="4">
        <v>45823</v>
      </c>
      <c r="J294" t="s">
        <v>22</v>
      </c>
      <c r="K294" s="3" t="s">
        <v>23</v>
      </c>
      <c r="L294" s="3" t="s">
        <v>23</v>
      </c>
      <c r="P294" s="3" t="s">
        <v>24</v>
      </c>
      <c r="Q294" t="s">
        <v>820</v>
      </c>
    </row>
    <row r="295" spans="1:17" x14ac:dyDescent="0.25">
      <c r="A295" s="5">
        <v>5617</v>
      </c>
      <c r="B295" s="3" t="s">
        <v>190</v>
      </c>
      <c r="C295" s="3" t="s">
        <v>31</v>
      </c>
      <c r="D295" s="3" t="s">
        <v>58</v>
      </c>
      <c r="E295" s="3" t="s">
        <v>821</v>
      </c>
      <c r="F295" s="3" t="s">
        <v>822</v>
      </c>
      <c r="G295" s="9">
        <v>2950</v>
      </c>
      <c r="H295" s="3" t="s">
        <v>21</v>
      </c>
      <c r="I295" s="4">
        <v>45823</v>
      </c>
      <c r="J295" t="s">
        <v>22</v>
      </c>
      <c r="K295" s="3" t="s">
        <v>23</v>
      </c>
      <c r="L295" s="3" t="s">
        <v>23</v>
      </c>
      <c r="P295" s="3" t="s">
        <v>24</v>
      </c>
      <c r="Q295" t="s">
        <v>823</v>
      </c>
    </row>
    <row r="296" spans="1:17" x14ac:dyDescent="0.25">
      <c r="A296" s="5">
        <v>5618</v>
      </c>
      <c r="B296" s="3" t="s">
        <v>190</v>
      </c>
      <c r="C296" s="3" t="s">
        <v>31</v>
      </c>
      <c r="D296" s="3" t="s">
        <v>58</v>
      </c>
      <c r="E296" s="3" t="s">
        <v>824</v>
      </c>
      <c r="F296" s="3" t="s">
        <v>825</v>
      </c>
      <c r="G296" s="9">
        <v>250</v>
      </c>
      <c r="H296" s="3" t="s">
        <v>21</v>
      </c>
      <c r="I296" s="4">
        <v>45823</v>
      </c>
      <c r="J296" t="s">
        <v>22</v>
      </c>
      <c r="K296" s="3" t="s">
        <v>23</v>
      </c>
      <c r="L296" s="3" t="s">
        <v>23</v>
      </c>
      <c r="P296" s="3" t="s">
        <v>24</v>
      </c>
      <c r="Q296" t="s">
        <v>826</v>
      </c>
    </row>
    <row r="297" spans="1:17" x14ac:dyDescent="0.25">
      <c r="A297" s="5">
        <v>5619</v>
      </c>
      <c r="B297" s="3" t="s">
        <v>723</v>
      </c>
      <c r="C297" s="3" t="s">
        <v>40</v>
      </c>
      <c r="D297" s="3" t="s">
        <v>64</v>
      </c>
      <c r="E297" s="3">
        <v>21291</v>
      </c>
      <c r="F297" s="3" t="s">
        <v>827</v>
      </c>
      <c r="G297" s="9">
        <v>3500</v>
      </c>
      <c r="H297" s="3" t="s">
        <v>21</v>
      </c>
      <c r="I297" s="4">
        <v>45823</v>
      </c>
      <c r="J297" t="s">
        <v>469</v>
      </c>
      <c r="K297" s="3" t="s">
        <v>23</v>
      </c>
      <c r="L297" s="3" t="s">
        <v>23</v>
      </c>
      <c r="M297" s="3" t="s">
        <v>271</v>
      </c>
      <c r="N297" s="3"/>
      <c r="O297" s="3"/>
      <c r="P297" s="3" t="s">
        <v>24</v>
      </c>
      <c r="Q297" t="s">
        <v>828</v>
      </c>
    </row>
    <row r="298" spans="1:17" x14ac:dyDescent="0.25">
      <c r="A298" s="5">
        <v>5620</v>
      </c>
      <c r="B298" s="3" t="s">
        <v>723</v>
      </c>
      <c r="C298" s="3" t="s">
        <v>40</v>
      </c>
      <c r="D298" s="3" t="s">
        <v>64</v>
      </c>
      <c r="E298" s="3">
        <v>21292</v>
      </c>
      <c r="F298" s="3" t="s">
        <v>829</v>
      </c>
      <c r="G298" s="9">
        <v>5200</v>
      </c>
      <c r="H298" s="3" t="s">
        <v>21</v>
      </c>
      <c r="I298" s="4">
        <v>45823</v>
      </c>
      <c r="J298" t="s">
        <v>469</v>
      </c>
      <c r="K298" s="3" t="s">
        <v>23</v>
      </c>
      <c r="L298" s="3" t="s">
        <v>23</v>
      </c>
      <c r="M298" s="3" t="s">
        <v>271</v>
      </c>
      <c r="N298" s="3"/>
      <c r="O298" s="3"/>
      <c r="P298" s="3" t="s">
        <v>24</v>
      </c>
      <c r="Q298" t="s">
        <v>830</v>
      </c>
    </row>
    <row r="299" spans="1:17" x14ac:dyDescent="0.25">
      <c r="A299" s="5">
        <v>5621</v>
      </c>
      <c r="B299" s="3" t="s">
        <v>39</v>
      </c>
      <c r="C299" s="3" t="s">
        <v>184</v>
      </c>
      <c r="D299" s="3" t="s">
        <v>41</v>
      </c>
      <c r="E299" s="3" t="s">
        <v>831</v>
      </c>
      <c r="F299" s="3" t="s">
        <v>832</v>
      </c>
      <c r="G299" s="9">
        <v>240</v>
      </c>
      <c r="H299" s="3" t="s">
        <v>21</v>
      </c>
      <c r="I299" s="4">
        <v>45830</v>
      </c>
      <c r="J299" t="s">
        <v>22</v>
      </c>
      <c r="K299" s="3" t="s">
        <v>23</v>
      </c>
      <c r="L299" s="3" t="s">
        <v>23</v>
      </c>
      <c r="P299" s="3" t="s">
        <v>24</v>
      </c>
      <c r="Q299" t="s">
        <v>833</v>
      </c>
    </row>
    <row r="300" spans="1:17" x14ac:dyDescent="0.25">
      <c r="A300" s="5">
        <v>5622</v>
      </c>
      <c r="B300" s="3" t="s">
        <v>190</v>
      </c>
      <c r="C300" s="3" t="s">
        <v>29</v>
      </c>
      <c r="D300" s="3" t="s">
        <v>58</v>
      </c>
      <c r="E300" s="3" t="s">
        <v>834</v>
      </c>
      <c r="F300" s="3" t="s">
        <v>835</v>
      </c>
      <c r="G300" s="9">
        <v>300</v>
      </c>
      <c r="H300" s="3" t="s">
        <v>21</v>
      </c>
      <c r="I300" s="4">
        <v>45830</v>
      </c>
      <c r="J300" t="s">
        <v>22</v>
      </c>
      <c r="K300" s="3" t="s">
        <v>23</v>
      </c>
      <c r="L300" s="3" t="s">
        <v>23</v>
      </c>
      <c r="P300" s="3" t="s">
        <v>24</v>
      </c>
      <c r="Q300" t="s">
        <v>836</v>
      </c>
    </row>
    <row r="301" spans="1:17" x14ac:dyDescent="0.25">
      <c r="A301" s="5">
        <v>5623</v>
      </c>
      <c r="B301" s="3" t="s">
        <v>190</v>
      </c>
      <c r="C301" s="3" t="s">
        <v>40</v>
      </c>
      <c r="D301" s="3" t="s">
        <v>58</v>
      </c>
      <c r="E301" s="3" t="s">
        <v>837</v>
      </c>
      <c r="F301" s="3" t="s">
        <v>838</v>
      </c>
      <c r="G301" s="9">
        <v>1350</v>
      </c>
      <c r="H301" s="3" t="s">
        <v>21</v>
      </c>
      <c r="I301" s="4">
        <v>45830</v>
      </c>
      <c r="J301" t="s">
        <v>22</v>
      </c>
      <c r="K301" s="3" t="s">
        <v>23</v>
      </c>
      <c r="L301" s="3" t="s">
        <v>23</v>
      </c>
      <c r="P301" s="3" t="s">
        <v>24</v>
      </c>
      <c r="Q301" t="s">
        <v>839</v>
      </c>
    </row>
    <row r="302" spans="1:17" x14ac:dyDescent="0.25">
      <c r="A302" s="5">
        <v>5627</v>
      </c>
      <c r="B302" s="3" t="s">
        <v>190</v>
      </c>
      <c r="C302" s="3" t="s">
        <v>31</v>
      </c>
      <c r="D302" s="3" t="s">
        <v>58</v>
      </c>
      <c r="E302" s="3" t="s">
        <v>840</v>
      </c>
      <c r="F302" s="3" t="s">
        <v>841</v>
      </c>
      <c r="G302" s="9">
        <v>250</v>
      </c>
      <c r="H302" s="3" t="s">
        <v>21</v>
      </c>
      <c r="I302" s="4">
        <v>45834</v>
      </c>
      <c r="J302" t="s">
        <v>22</v>
      </c>
      <c r="K302" s="3" t="s">
        <v>23</v>
      </c>
      <c r="L302" s="3" t="s">
        <v>23</v>
      </c>
      <c r="P302" s="3" t="s">
        <v>24</v>
      </c>
      <c r="Q302" t="s">
        <v>842</v>
      </c>
    </row>
    <row r="303" spans="1:17" x14ac:dyDescent="0.25">
      <c r="A303" s="5">
        <v>5628</v>
      </c>
      <c r="B303" s="3" t="s">
        <v>190</v>
      </c>
      <c r="C303" s="3" t="s">
        <v>29</v>
      </c>
      <c r="D303" s="3" t="s">
        <v>58</v>
      </c>
      <c r="E303" s="3" t="s">
        <v>843</v>
      </c>
      <c r="F303" s="3" t="s">
        <v>207</v>
      </c>
      <c r="G303" s="9">
        <v>1400</v>
      </c>
      <c r="H303" s="3" t="s">
        <v>21</v>
      </c>
      <c r="I303" s="4">
        <v>45834</v>
      </c>
      <c r="J303" t="s">
        <v>22</v>
      </c>
      <c r="K303" s="3" t="s">
        <v>23</v>
      </c>
      <c r="L303" s="3" t="s">
        <v>23</v>
      </c>
      <c r="P303" s="3" t="s">
        <v>24</v>
      </c>
      <c r="Q303" t="s">
        <v>844</v>
      </c>
    </row>
    <row r="304" spans="1:17" x14ac:dyDescent="0.25">
      <c r="A304" s="5">
        <v>5629</v>
      </c>
      <c r="B304" s="3" t="s">
        <v>190</v>
      </c>
      <c r="C304" s="3" t="s">
        <v>29</v>
      </c>
      <c r="D304" s="3" t="s">
        <v>58</v>
      </c>
      <c r="E304" s="3" t="s">
        <v>845</v>
      </c>
      <c r="F304" s="3" t="s">
        <v>846</v>
      </c>
      <c r="G304" s="9">
        <v>3200</v>
      </c>
      <c r="H304" s="3" t="s">
        <v>21</v>
      </c>
      <c r="I304" s="4">
        <v>45834</v>
      </c>
      <c r="J304" t="s">
        <v>22</v>
      </c>
      <c r="K304" s="3" t="s">
        <v>23</v>
      </c>
      <c r="L304" s="3" t="s">
        <v>23</v>
      </c>
      <c r="P304" s="3" t="s">
        <v>24</v>
      </c>
      <c r="Q304" t="s">
        <v>847</v>
      </c>
    </row>
    <row r="305" spans="1:17" x14ac:dyDescent="0.25">
      <c r="A305" s="5">
        <v>5630</v>
      </c>
      <c r="B305" s="3" t="s">
        <v>17</v>
      </c>
      <c r="C305" s="3" t="s">
        <v>40</v>
      </c>
      <c r="D305" s="3" t="s">
        <v>35</v>
      </c>
      <c r="E305" s="3" t="s">
        <v>848</v>
      </c>
      <c r="F305" s="3" t="s">
        <v>849</v>
      </c>
      <c r="G305" s="9">
        <v>600</v>
      </c>
      <c r="H305" s="3" t="s">
        <v>21</v>
      </c>
      <c r="I305" s="4">
        <v>45836</v>
      </c>
      <c r="J305" t="s">
        <v>22</v>
      </c>
      <c r="K305" s="3" t="s">
        <v>23</v>
      </c>
      <c r="L305" s="3" t="s">
        <v>23</v>
      </c>
      <c r="P305" s="3" t="s">
        <v>24</v>
      </c>
      <c r="Q305" t="s">
        <v>850</v>
      </c>
    </row>
    <row r="306" spans="1:17" x14ac:dyDescent="0.25">
      <c r="A306" s="5">
        <v>5631</v>
      </c>
      <c r="B306" s="3" t="s">
        <v>190</v>
      </c>
      <c r="C306" s="3" t="s">
        <v>29</v>
      </c>
      <c r="D306" s="3" t="s">
        <v>58</v>
      </c>
      <c r="E306" s="3" t="s">
        <v>851</v>
      </c>
      <c r="F306" s="3" t="s">
        <v>852</v>
      </c>
      <c r="G306" s="9">
        <v>490</v>
      </c>
      <c r="H306" s="3" t="s">
        <v>21</v>
      </c>
      <c r="I306" s="4">
        <v>45836</v>
      </c>
      <c r="J306" t="s">
        <v>22</v>
      </c>
      <c r="K306" s="3" t="s">
        <v>23</v>
      </c>
      <c r="L306" s="3" t="s">
        <v>23</v>
      </c>
      <c r="P306" s="3" t="s">
        <v>24</v>
      </c>
      <c r="Q306" t="s">
        <v>853</v>
      </c>
    </row>
    <row r="307" spans="1:17" x14ac:dyDescent="0.25">
      <c r="A307" s="5">
        <v>5632</v>
      </c>
      <c r="B307" s="3" t="s">
        <v>17</v>
      </c>
      <c r="C307" s="3" t="s">
        <v>31</v>
      </c>
      <c r="D307" s="3" t="s">
        <v>19</v>
      </c>
      <c r="E307" s="3" t="s">
        <v>854</v>
      </c>
      <c r="F307" s="3" t="s">
        <v>855</v>
      </c>
      <c r="G307" s="9">
        <v>3150</v>
      </c>
      <c r="H307" s="3" t="s">
        <v>21</v>
      </c>
      <c r="I307" s="4">
        <v>45837</v>
      </c>
      <c r="J307" t="s">
        <v>22</v>
      </c>
      <c r="K307" s="3" t="s">
        <v>23</v>
      </c>
      <c r="L307" s="3" t="s">
        <v>23</v>
      </c>
      <c r="P307" s="3" t="s">
        <v>24</v>
      </c>
      <c r="Q307" t="s">
        <v>856</v>
      </c>
    </row>
    <row r="308" spans="1:17" x14ac:dyDescent="0.25">
      <c r="A308" s="5">
        <v>5633</v>
      </c>
      <c r="B308" s="3" t="s">
        <v>17</v>
      </c>
      <c r="C308" s="3" t="s">
        <v>40</v>
      </c>
      <c r="D308" s="3" t="s">
        <v>19</v>
      </c>
      <c r="E308" s="3" t="s">
        <v>857</v>
      </c>
      <c r="F308" s="3" t="s">
        <v>405</v>
      </c>
      <c r="G308" s="9">
        <v>120</v>
      </c>
      <c r="H308" s="3" t="s">
        <v>21</v>
      </c>
      <c r="I308" s="4">
        <v>45837</v>
      </c>
      <c r="J308" t="s">
        <v>22</v>
      </c>
      <c r="K308" s="3" t="s">
        <v>23</v>
      </c>
      <c r="L308" s="3" t="s">
        <v>23</v>
      </c>
      <c r="P308" s="3" t="s">
        <v>24</v>
      </c>
      <c r="Q308" t="s">
        <v>858</v>
      </c>
    </row>
    <row r="309" spans="1:17" x14ac:dyDescent="0.25">
      <c r="A309" s="5">
        <v>5634</v>
      </c>
      <c r="B309" s="3" t="s">
        <v>107</v>
      </c>
      <c r="C309" s="3" t="s">
        <v>184</v>
      </c>
      <c r="D309" s="3" t="s">
        <v>108</v>
      </c>
      <c r="E309" s="3" t="s">
        <v>859</v>
      </c>
      <c r="F309" s="3" t="s">
        <v>860</v>
      </c>
      <c r="G309" s="9">
        <v>5200</v>
      </c>
      <c r="H309" s="3" t="s">
        <v>21</v>
      </c>
      <c r="I309" s="4">
        <v>45837</v>
      </c>
      <c r="J309" t="s">
        <v>469</v>
      </c>
      <c r="K309" s="3" t="s">
        <v>23</v>
      </c>
      <c r="L309" s="3" t="s">
        <v>23</v>
      </c>
      <c r="M309" s="3" t="s">
        <v>271</v>
      </c>
      <c r="N309" s="3"/>
      <c r="O309" s="3"/>
      <c r="P309" s="3" t="s">
        <v>24</v>
      </c>
      <c r="Q309" t="s">
        <v>861</v>
      </c>
    </row>
    <row r="310" spans="1:17" x14ac:dyDescent="0.25">
      <c r="A310" s="5">
        <v>5635</v>
      </c>
      <c r="B310" s="3" t="s">
        <v>190</v>
      </c>
      <c r="C310" s="3" t="s">
        <v>31</v>
      </c>
      <c r="D310" s="3" t="s">
        <v>58</v>
      </c>
      <c r="E310" s="3" t="s">
        <v>862</v>
      </c>
      <c r="F310" s="3" t="s">
        <v>863</v>
      </c>
      <c r="G310" s="9">
        <v>250</v>
      </c>
      <c r="H310" s="3" t="s">
        <v>21</v>
      </c>
      <c r="I310" s="4">
        <v>45837</v>
      </c>
      <c r="J310" t="s">
        <v>22</v>
      </c>
      <c r="K310" s="3" t="s">
        <v>23</v>
      </c>
      <c r="L310" s="3" t="s">
        <v>23</v>
      </c>
      <c r="P310" s="3" t="s">
        <v>24</v>
      </c>
      <c r="Q310" t="s">
        <v>864</v>
      </c>
    </row>
    <row r="311" spans="1:17" x14ac:dyDescent="0.25">
      <c r="A311" s="5">
        <v>5636</v>
      </c>
      <c r="B311" s="3" t="s">
        <v>190</v>
      </c>
      <c r="C311" s="3" t="s">
        <v>31</v>
      </c>
      <c r="D311" s="3" t="s">
        <v>58</v>
      </c>
      <c r="E311" s="3" t="s">
        <v>865</v>
      </c>
      <c r="F311" s="3" t="s">
        <v>866</v>
      </c>
      <c r="G311" s="9">
        <v>400</v>
      </c>
      <c r="H311" s="3" t="s">
        <v>21</v>
      </c>
      <c r="I311" s="4">
        <v>45837</v>
      </c>
      <c r="J311" t="s">
        <v>22</v>
      </c>
      <c r="K311" s="3" t="s">
        <v>23</v>
      </c>
      <c r="L311" s="3" t="s">
        <v>23</v>
      </c>
      <c r="P311" s="3" t="s">
        <v>24</v>
      </c>
      <c r="Q311" t="s">
        <v>867</v>
      </c>
    </row>
    <row r="312" spans="1:17" x14ac:dyDescent="0.25">
      <c r="A312" s="5">
        <v>5637</v>
      </c>
      <c r="B312" s="3" t="s">
        <v>17</v>
      </c>
      <c r="C312" s="3" t="s">
        <v>31</v>
      </c>
      <c r="D312" s="3" t="s">
        <v>19</v>
      </c>
      <c r="E312" s="3" t="s">
        <v>868</v>
      </c>
      <c r="F312" s="3" t="s">
        <v>869</v>
      </c>
      <c r="G312" s="9">
        <v>3250</v>
      </c>
      <c r="H312" s="3" t="s">
        <v>21</v>
      </c>
      <c r="I312" s="4">
        <v>45837</v>
      </c>
      <c r="J312" t="s">
        <v>22</v>
      </c>
      <c r="K312" s="3" t="s">
        <v>23</v>
      </c>
      <c r="L312" s="3" t="s">
        <v>23</v>
      </c>
      <c r="P312" s="3" t="s">
        <v>24</v>
      </c>
      <c r="Q312" t="s">
        <v>870</v>
      </c>
    </row>
    <row r="313" spans="1:17" x14ac:dyDescent="0.25">
      <c r="A313" s="5">
        <v>5638</v>
      </c>
      <c r="B313" s="3" t="s">
        <v>190</v>
      </c>
      <c r="C313" s="3" t="s">
        <v>40</v>
      </c>
      <c r="D313" s="3" t="s">
        <v>58</v>
      </c>
      <c r="E313" s="3" t="s">
        <v>871</v>
      </c>
      <c r="F313" s="3" t="s">
        <v>872</v>
      </c>
      <c r="G313" s="9">
        <v>9850</v>
      </c>
      <c r="H313" s="3" t="s">
        <v>21</v>
      </c>
      <c r="I313" s="4">
        <v>45840</v>
      </c>
      <c r="J313" t="s">
        <v>22</v>
      </c>
      <c r="K313" s="3" t="s">
        <v>23</v>
      </c>
      <c r="L313" s="3" t="s">
        <v>23</v>
      </c>
      <c r="P313" s="3" t="s">
        <v>24</v>
      </c>
      <c r="Q313" t="s">
        <v>873</v>
      </c>
    </row>
    <row r="314" spans="1:17" x14ac:dyDescent="0.25">
      <c r="A314" s="5">
        <v>5639</v>
      </c>
      <c r="B314" s="3" t="s">
        <v>190</v>
      </c>
      <c r="C314" s="3" t="s">
        <v>31</v>
      </c>
      <c r="D314" s="3" t="s">
        <v>58</v>
      </c>
      <c r="E314" s="3" t="s">
        <v>874</v>
      </c>
      <c r="F314" s="3" t="s">
        <v>875</v>
      </c>
      <c r="G314" s="9">
        <v>750</v>
      </c>
      <c r="H314" s="3" t="s">
        <v>21</v>
      </c>
      <c r="I314" s="4">
        <v>45843</v>
      </c>
      <c r="J314" t="s">
        <v>22</v>
      </c>
      <c r="K314" s="3" t="s">
        <v>23</v>
      </c>
      <c r="L314" s="3" t="s">
        <v>23</v>
      </c>
      <c r="P314" s="3" t="s">
        <v>24</v>
      </c>
      <c r="Q314" t="s">
        <v>876</v>
      </c>
    </row>
    <row r="315" spans="1:17" x14ac:dyDescent="0.25">
      <c r="A315" s="5">
        <v>5640</v>
      </c>
      <c r="B315" s="3" t="s">
        <v>17</v>
      </c>
      <c r="C315" s="3" t="s">
        <v>18</v>
      </c>
      <c r="D315" s="3" t="s">
        <v>35</v>
      </c>
      <c r="E315" s="3" t="s">
        <v>877</v>
      </c>
      <c r="F315" s="3" t="s">
        <v>878</v>
      </c>
      <c r="G315" s="9">
        <v>8215</v>
      </c>
      <c r="H315" s="3" t="s">
        <v>21</v>
      </c>
      <c r="I315" s="4">
        <v>45845</v>
      </c>
      <c r="J315" t="s">
        <v>469</v>
      </c>
      <c r="K315" s="3" t="s">
        <v>23</v>
      </c>
      <c r="L315" s="3" t="s">
        <v>23</v>
      </c>
      <c r="P315" s="3" t="s">
        <v>24</v>
      </c>
      <c r="Q315" t="s">
        <v>879</v>
      </c>
    </row>
    <row r="316" spans="1:17" x14ac:dyDescent="0.25">
      <c r="A316" s="5">
        <v>5641</v>
      </c>
      <c r="B316" s="3" t="s">
        <v>190</v>
      </c>
      <c r="C316" s="3" t="s">
        <v>40</v>
      </c>
      <c r="D316" s="3" t="s">
        <v>58</v>
      </c>
      <c r="E316" s="3" t="s">
        <v>880</v>
      </c>
      <c r="F316" s="3" t="s">
        <v>881</v>
      </c>
      <c r="G316" s="9">
        <v>3500</v>
      </c>
      <c r="H316" s="3" t="s">
        <v>21</v>
      </c>
      <c r="I316" s="4">
        <v>45846</v>
      </c>
      <c r="J316" t="s">
        <v>22</v>
      </c>
      <c r="K316" s="3" t="s">
        <v>23</v>
      </c>
      <c r="L316" s="3" t="s">
        <v>23</v>
      </c>
      <c r="P316" s="3" t="s">
        <v>24</v>
      </c>
    </row>
    <row r="317" spans="1:17" x14ac:dyDescent="0.25">
      <c r="A317" s="5">
        <v>5677</v>
      </c>
      <c r="B317" s="3" t="s">
        <v>190</v>
      </c>
      <c r="C317" s="3" t="s">
        <v>40</v>
      </c>
      <c r="D317" s="3" t="s">
        <v>58</v>
      </c>
      <c r="E317" s="3" t="s">
        <v>882</v>
      </c>
      <c r="F317" s="3" t="s">
        <v>883</v>
      </c>
      <c r="G317" s="9">
        <v>5640</v>
      </c>
      <c r="H317" s="3" t="s">
        <v>21</v>
      </c>
      <c r="I317" s="4">
        <v>45859</v>
      </c>
      <c r="J317" t="s">
        <v>22</v>
      </c>
      <c r="K317" s="3" t="s">
        <v>23</v>
      </c>
      <c r="L317" s="3" t="s">
        <v>23</v>
      </c>
      <c r="P317" s="3" t="s">
        <v>24</v>
      </c>
      <c r="Q317" t="s">
        <v>884</v>
      </c>
    </row>
    <row r="318" spans="1:17" x14ac:dyDescent="0.25">
      <c r="A318" s="5">
        <v>5678</v>
      </c>
      <c r="B318" s="3" t="s">
        <v>190</v>
      </c>
      <c r="C318" s="3" t="s">
        <v>197</v>
      </c>
      <c r="D318" s="3" t="s">
        <v>58</v>
      </c>
      <c r="E318" s="3" t="s">
        <v>885</v>
      </c>
      <c r="F318" s="3" t="s">
        <v>385</v>
      </c>
      <c r="G318" s="9">
        <v>440</v>
      </c>
      <c r="H318" s="3" t="s">
        <v>21</v>
      </c>
      <c r="I318" s="4">
        <v>45861</v>
      </c>
      <c r="J318" t="s">
        <v>22</v>
      </c>
      <c r="K318" s="3" t="s">
        <v>23</v>
      </c>
      <c r="L318" s="3" t="s">
        <v>23</v>
      </c>
      <c r="P318" s="3" t="s">
        <v>24</v>
      </c>
      <c r="Q318" t="s">
        <v>886</v>
      </c>
    </row>
    <row r="319" spans="1:17" x14ac:dyDescent="0.25">
      <c r="A319" s="5">
        <v>5679</v>
      </c>
      <c r="B319" s="3" t="s">
        <v>190</v>
      </c>
      <c r="C319" s="3" t="s">
        <v>40</v>
      </c>
      <c r="D319" s="3" t="s">
        <v>58</v>
      </c>
      <c r="E319" s="3" t="s">
        <v>887</v>
      </c>
      <c r="F319" s="3" t="s">
        <v>280</v>
      </c>
      <c r="G319" s="9">
        <v>850</v>
      </c>
      <c r="H319" s="3" t="s">
        <v>21</v>
      </c>
      <c r="I319" s="4">
        <v>45872</v>
      </c>
      <c r="J319" t="s">
        <v>22</v>
      </c>
      <c r="K319" s="3" t="s">
        <v>23</v>
      </c>
      <c r="L319" s="3" t="s">
        <v>23</v>
      </c>
      <c r="P319" s="3" t="s">
        <v>24</v>
      </c>
      <c r="Q319" t="s">
        <v>888</v>
      </c>
    </row>
    <row r="320" spans="1:17" x14ac:dyDescent="0.25">
      <c r="A320" s="5">
        <v>5680</v>
      </c>
      <c r="B320" s="3" t="s">
        <v>190</v>
      </c>
      <c r="C320" s="3" t="s">
        <v>40</v>
      </c>
      <c r="D320" s="3" t="s">
        <v>58</v>
      </c>
      <c r="E320" s="3" t="s">
        <v>889</v>
      </c>
      <c r="F320" s="3" t="s">
        <v>890</v>
      </c>
      <c r="G320" s="9">
        <v>1250</v>
      </c>
      <c r="H320" s="3" t="s">
        <v>21</v>
      </c>
      <c r="I320" s="4">
        <v>45872</v>
      </c>
      <c r="J320" t="s">
        <v>22</v>
      </c>
      <c r="K320" s="3" t="s">
        <v>23</v>
      </c>
      <c r="L320" s="3" t="s">
        <v>23</v>
      </c>
      <c r="P320" s="3" t="s">
        <v>24</v>
      </c>
      <c r="Q320" t="s">
        <v>891</v>
      </c>
    </row>
    <row r="321" spans="1:17" x14ac:dyDescent="0.25">
      <c r="A321" s="5">
        <v>5681</v>
      </c>
      <c r="B321" s="3" t="s">
        <v>190</v>
      </c>
      <c r="C321" s="3" t="s">
        <v>184</v>
      </c>
      <c r="D321" s="3" t="s">
        <v>58</v>
      </c>
      <c r="E321" s="3" t="s">
        <v>892</v>
      </c>
      <c r="F321" s="3" t="s">
        <v>385</v>
      </c>
      <c r="G321" s="9">
        <v>440</v>
      </c>
      <c r="H321" s="3" t="s">
        <v>21</v>
      </c>
      <c r="I321" s="4">
        <v>45893</v>
      </c>
      <c r="J321" t="s">
        <v>22</v>
      </c>
      <c r="K321" s="3" t="s">
        <v>23</v>
      </c>
      <c r="L321" s="3" t="s">
        <v>23</v>
      </c>
      <c r="P321" s="3" t="s">
        <v>24</v>
      </c>
      <c r="Q321" t="s">
        <v>893</v>
      </c>
    </row>
    <row r="322" spans="1:17" x14ac:dyDescent="0.25">
      <c r="A322" s="5">
        <v>5682</v>
      </c>
      <c r="B322" s="3" t="s">
        <v>190</v>
      </c>
      <c r="C322" s="3" t="s">
        <v>40</v>
      </c>
      <c r="D322" s="3" t="s">
        <v>58</v>
      </c>
      <c r="E322" s="3" t="s">
        <v>894</v>
      </c>
      <c r="F322" s="3" t="s">
        <v>895</v>
      </c>
      <c r="G322" s="9">
        <v>2040</v>
      </c>
      <c r="H322" s="3" t="s">
        <v>21</v>
      </c>
      <c r="I322" s="4">
        <v>45874</v>
      </c>
      <c r="J322" t="s">
        <v>22</v>
      </c>
      <c r="K322" s="3" t="s">
        <v>23</v>
      </c>
      <c r="L322" s="3" t="s">
        <v>23</v>
      </c>
      <c r="P322" s="3" t="s">
        <v>24</v>
      </c>
      <c r="Q322" t="s">
        <v>896</v>
      </c>
    </row>
    <row r="323" spans="1:17" x14ac:dyDescent="0.25">
      <c r="A323" s="5">
        <v>5683</v>
      </c>
      <c r="B323" s="3" t="s">
        <v>190</v>
      </c>
      <c r="C323" s="3" t="s">
        <v>29</v>
      </c>
      <c r="D323" s="3" t="s">
        <v>58</v>
      </c>
      <c r="E323" s="3" t="s">
        <v>897</v>
      </c>
      <c r="F323" s="3" t="s">
        <v>898</v>
      </c>
      <c r="G323" s="9">
        <v>440</v>
      </c>
      <c r="H323" s="3" t="s">
        <v>21</v>
      </c>
      <c r="I323" s="4">
        <v>45874</v>
      </c>
      <c r="J323" t="s">
        <v>22</v>
      </c>
      <c r="K323" s="3" t="s">
        <v>23</v>
      </c>
      <c r="L323" s="3" t="s">
        <v>23</v>
      </c>
      <c r="P323" s="3" t="s">
        <v>24</v>
      </c>
      <c r="Q323" t="s">
        <v>899</v>
      </c>
    </row>
    <row r="324" spans="1:17" x14ac:dyDescent="0.25">
      <c r="A324" s="5">
        <v>5684</v>
      </c>
      <c r="B324" s="3" t="s">
        <v>190</v>
      </c>
      <c r="C324" s="3" t="s">
        <v>18</v>
      </c>
      <c r="D324" s="3" t="s">
        <v>58</v>
      </c>
      <c r="E324" s="3" t="s">
        <v>900</v>
      </c>
      <c r="F324" s="3" t="s">
        <v>348</v>
      </c>
      <c r="G324" s="9">
        <v>4050</v>
      </c>
      <c r="H324" s="3" t="s">
        <v>21</v>
      </c>
      <c r="I324" s="4">
        <v>45875</v>
      </c>
      <c r="J324" t="s">
        <v>22</v>
      </c>
      <c r="K324" s="3" t="s">
        <v>23</v>
      </c>
      <c r="L324" s="3" t="s">
        <v>23</v>
      </c>
      <c r="P324" s="3" t="s">
        <v>24</v>
      </c>
      <c r="Q324" t="s">
        <v>901</v>
      </c>
    </row>
    <row r="325" spans="1:17" x14ac:dyDescent="0.25">
      <c r="A325" s="5">
        <v>5685</v>
      </c>
      <c r="B325" s="3" t="s">
        <v>190</v>
      </c>
      <c r="C325" s="3" t="s">
        <v>31</v>
      </c>
      <c r="D325" s="3" t="s">
        <v>58</v>
      </c>
      <c r="E325" s="3" t="s">
        <v>902</v>
      </c>
      <c r="F325" s="3" t="s">
        <v>866</v>
      </c>
      <c r="G325" s="9">
        <v>400</v>
      </c>
      <c r="H325" s="3" t="s">
        <v>21</v>
      </c>
      <c r="I325" s="4">
        <v>45879</v>
      </c>
      <c r="J325" t="s">
        <v>22</v>
      </c>
      <c r="K325" s="3" t="s">
        <v>23</v>
      </c>
      <c r="L325" s="3" t="s">
        <v>23</v>
      </c>
      <c r="P325" s="3" t="s">
        <v>24</v>
      </c>
      <c r="Q325" t="s">
        <v>903</v>
      </c>
    </row>
    <row r="326" spans="1:17" x14ac:dyDescent="0.25">
      <c r="A326" s="5">
        <v>5686</v>
      </c>
      <c r="B326" s="3" t="s">
        <v>190</v>
      </c>
      <c r="C326" s="3" t="s">
        <v>31</v>
      </c>
      <c r="D326" s="3" t="s">
        <v>58</v>
      </c>
      <c r="E326" s="3" t="s">
        <v>904</v>
      </c>
      <c r="F326" s="3" t="s">
        <v>905</v>
      </c>
      <c r="G326" s="9">
        <v>800</v>
      </c>
      <c r="H326" s="3" t="s">
        <v>21</v>
      </c>
      <c r="I326" s="4">
        <v>45879</v>
      </c>
      <c r="J326" t="s">
        <v>22</v>
      </c>
      <c r="K326" s="3" t="s">
        <v>23</v>
      </c>
      <c r="L326" s="3" t="s">
        <v>23</v>
      </c>
      <c r="P326" s="3" t="s">
        <v>24</v>
      </c>
      <c r="Q326" t="s">
        <v>906</v>
      </c>
    </row>
    <row r="327" spans="1:17" x14ac:dyDescent="0.25">
      <c r="A327" s="5">
        <v>5687</v>
      </c>
      <c r="B327" s="3" t="s">
        <v>107</v>
      </c>
      <c r="C327" s="3" t="s">
        <v>184</v>
      </c>
      <c r="D327" s="3" t="s">
        <v>50</v>
      </c>
      <c r="E327" s="3" t="s">
        <v>907</v>
      </c>
      <c r="F327" s="3" t="s">
        <v>525</v>
      </c>
      <c r="G327" s="9">
        <v>1500</v>
      </c>
      <c r="H327" s="3" t="s">
        <v>21</v>
      </c>
      <c r="I327" s="4">
        <v>45890</v>
      </c>
      <c r="J327" t="s">
        <v>469</v>
      </c>
      <c r="K327" s="3" t="s">
        <v>23</v>
      </c>
      <c r="L327" s="3" t="s">
        <v>23</v>
      </c>
      <c r="P327" s="3" t="s">
        <v>24</v>
      </c>
      <c r="Q327" t="s">
        <v>908</v>
      </c>
    </row>
    <row r="328" spans="1:17" x14ac:dyDescent="0.25">
      <c r="A328" s="5">
        <v>5688</v>
      </c>
      <c r="B328" s="3" t="s">
        <v>190</v>
      </c>
      <c r="C328" s="3" t="s">
        <v>40</v>
      </c>
      <c r="D328" s="3" t="s">
        <v>58</v>
      </c>
      <c r="E328" s="3" t="s">
        <v>909</v>
      </c>
      <c r="F328" s="3" t="s">
        <v>910</v>
      </c>
      <c r="G328" s="9">
        <v>4500</v>
      </c>
      <c r="H328" s="3" t="s">
        <v>21</v>
      </c>
      <c r="I328" s="4">
        <v>45787</v>
      </c>
      <c r="J328" t="s">
        <v>22</v>
      </c>
      <c r="K328" s="3" t="s">
        <v>23</v>
      </c>
      <c r="L328" s="3" t="s">
        <v>23</v>
      </c>
      <c r="P328" s="3" t="s">
        <v>24</v>
      </c>
      <c r="Q328" t="s">
        <v>911</v>
      </c>
    </row>
    <row r="329" spans="1:17" x14ac:dyDescent="0.25">
      <c r="A329" s="5">
        <v>5689</v>
      </c>
      <c r="B329" s="3" t="s">
        <v>190</v>
      </c>
      <c r="C329" s="3" t="s">
        <v>40</v>
      </c>
      <c r="D329" s="3" t="s">
        <v>58</v>
      </c>
      <c r="E329" s="3" t="s">
        <v>912</v>
      </c>
      <c r="F329" s="3" t="s">
        <v>913</v>
      </c>
      <c r="G329" s="9">
        <v>9900</v>
      </c>
      <c r="H329" s="3" t="s">
        <v>21</v>
      </c>
      <c r="I329" s="4">
        <v>45787</v>
      </c>
      <c r="J329" t="s">
        <v>22</v>
      </c>
      <c r="K329" s="3" t="s">
        <v>23</v>
      </c>
      <c r="L329" s="3" t="s">
        <v>23</v>
      </c>
      <c r="P329" s="3" t="s">
        <v>24</v>
      </c>
      <c r="Q329" t="s">
        <v>914</v>
      </c>
    </row>
    <row r="330" spans="1:17" x14ac:dyDescent="0.25">
      <c r="A330" s="5">
        <v>5690</v>
      </c>
      <c r="B330" s="3" t="s">
        <v>190</v>
      </c>
      <c r="C330" s="3" t="s">
        <v>197</v>
      </c>
      <c r="D330" s="3" t="s">
        <v>58</v>
      </c>
      <c r="E330" s="3" t="s">
        <v>915</v>
      </c>
      <c r="F330" s="3" t="s">
        <v>916</v>
      </c>
      <c r="G330" s="9">
        <v>980</v>
      </c>
      <c r="H330" s="3" t="s">
        <v>21</v>
      </c>
      <c r="I330" s="4">
        <v>45885</v>
      </c>
      <c r="J330" t="s">
        <v>22</v>
      </c>
      <c r="K330" s="3" t="s">
        <v>23</v>
      </c>
      <c r="L330" s="3" t="s">
        <v>23</v>
      </c>
      <c r="P330" s="3" t="s">
        <v>24</v>
      </c>
      <c r="Q330" t="s">
        <v>917</v>
      </c>
    </row>
    <row r="331" spans="1:17" x14ac:dyDescent="0.25">
      <c r="A331" s="5">
        <v>5691</v>
      </c>
      <c r="B331" s="3" t="s">
        <v>107</v>
      </c>
      <c r="C331" s="3" t="s">
        <v>197</v>
      </c>
      <c r="D331" s="3" t="s">
        <v>108</v>
      </c>
      <c r="E331" s="3" t="s">
        <v>918</v>
      </c>
      <c r="F331" s="3" t="s">
        <v>919</v>
      </c>
      <c r="G331" s="9">
        <v>4440</v>
      </c>
      <c r="H331" s="3" t="s">
        <v>21</v>
      </c>
      <c r="I331" s="4">
        <v>45893</v>
      </c>
      <c r="J331" t="s">
        <v>469</v>
      </c>
      <c r="K331" s="3" t="s">
        <v>23</v>
      </c>
      <c r="L331" s="3" t="s">
        <v>23</v>
      </c>
      <c r="P331" s="3" t="s">
        <v>24</v>
      </c>
      <c r="Q331" t="s">
        <v>920</v>
      </c>
    </row>
    <row r="332" spans="1:17" x14ac:dyDescent="0.25">
      <c r="A332" s="5">
        <v>5709</v>
      </c>
      <c r="B332" s="3" t="s">
        <v>17</v>
      </c>
      <c r="C332" s="3" t="s">
        <v>40</v>
      </c>
      <c r="D332" s="3" t="s">
        <v>35</v>
      </c>
      <c r="E332" s="3" t="s">
        <v>921</v>
      </c>
      <c r="F332" s="3" t="s">
        <v>922</v>
      </c>
      <c r="G332" s="9">
        <v>430</v>
      </c>
      <c r="H332" s="3" t="s">
        <v>648</v>
      </c>
      <c r="I332" s="4">
        <v>45900</v>
      </c>
      <c r="J332" t="s">
        <v>22</v>
      </c>
      <c r="K332" s="3" t="s">
        <v>23</v>
      </c>
      <c r="L332" s="3" t="s">
        <v>23</v>
      </c>
      <c r="P332" s="3" t="s">
        <v>24</v>
      </c>
      <c r="Q332" t="s">
        <v>923</v>
      </c>
    </row>
    <row r="333" spans="1:17" x14ac:dyDescent="0.25">
      <c r="A333" s="5">
        <v>5710</v>
      </c>
      <c r="B333" s="3" t="s">
        <v>17</v>
      </c>
      <c r="C333" s="3" t="s">
        <v>18</v>
      </c>
      <c r="D333" s="3" t="s">
        <v>35</v>
      </c>
      <c r="E333" s="3" t="s">
        <v>924</v>
      </c>
      <c r="F333" s="3" t="s">
        <v>878</v>
      </c>
      <c r="G333" s="9">
        <v>4320</v>
      </c>
      <c r="H333" s="3" t="s">
        <v>648</v>
      </c>
      <c r="I333" s="4">
        <v>45900</v>
      </c>
      <c r="J333" t="s">
        <v>22</v>
      </c>
      <c r="K333" s="3" t="s">
        <v>23</v>
      </c>
      <c r="L333" s="3" t="s">
        <v>23</v>
      </c>
      <c r="P333" s="3" t="s">
        <v>24</v>
      </c>
      <c r="Q333" t="s">
        <v>925</v>
      </c>
    </row>
    <row r="334" spans="1:17" x14ac:dyDescent="0.25">
      <c r="A334" s="5">
        <v>5711</v>
      </c>
      <c r="B334" s="3" t="s">
        <v>190</v>
      </c>
      <c r="C334" s="3" t="s">
        <v>184</v>
      </c>
      <c r="D334" s="3" t="s">
        <v>58</v>
      </c>
      <c r="E334" s="3" t="s">
        <v>926</v>
      </c>
      <c r="F334" s="3" t="s">
        <v>927</v>
      </c>
      <c r="G334" s="9">
        <v>495</v>
      </c>
      <c r="H334" s="3" t="s">
        <v>648</v>
      </c>
      <c r="I334" s="4">
        <v>45902</v>
      </c>
      <c r="J334" t="s">
        <v>22</v>
      </c>
      <c r="K334" s="3" t="s">
        <v>23</v>
      </c>
      <c r="L334" s="3" t="s">
        <v>23</v>
      </c>
      <c r="P334" s="3" t="s">
        <v>24</v>
      </c>
      <c r="Q334" t="s">
        <v>928</v>
      </c>
    </row>
    <row r="335" spans="1:17" x14ac:dyDescent="0.25">
      <c r="A335" s="5">
        <v>5712</v>
      </c>
      <c r="B335" s="3" t="s">
        <v>190</v>
      </c>
      <c r="C335" s="3" t="s">
        <v>929</v>
      </c>
      <c r="D335" s="3" t="s">
        <v>58</v>
      </c>
      <c r="E335" s="3" t="s">
        <v>930</v>
      </c>
      <c r="F335" s="3" t="s">
        <v>931</v>
      </c>
      <c r="G335" s="9">
        <v>185</v>
      </c>
      <c r="H335" s="3" t="s">
        <v>648</v>
      </c>
      <c r="I335" s="4">
        <v>45902</v>
      </c>
      <c r="J335" t="s">
        <v>22</v>
      </c>
      <c r="K335" s="3" t="s">
        <v>23</v>
      </c>
      <c r="L335" s="3" t="s">
        <v>23</v>
      </c>
      <c r="P335" s="3" t="s">
        <v>24</v>
      </c>
      <c r="Q335" t="s">
        <v>932</v>
      </c>
    </row>
    <row r="336" spans="1:17" x14ac:dyDescent="0.25">
      <c r="A336" s="5">
        <v>5713</v>
      </c>
      <c r="B336" s="3" t="s">
        <v>630</v>
      </c>
      <c r="C336" s="3" t="s">
        <v>197</v>
      </c>
      <c r="D336" s="3" t="s">
        <v>654</v>
      </c>
      <c r="E336" s="3" t="s">
        <v>933</v>
      </c>
      <c r="F336" s="3" t="s">
        <v>934</v>
      </c>
      <c r="G336" s="9">
        <v>27935</v>
      </c>
      <c r="H336" s="3" t="s">
        <v>648</v>
      </c>
      <c r="I336" s="4">
        <v>45904</v>
      </c>
      <c r="J336" t="s">
        <v>22</v>
      </c>
      <c r="K336" s="3" t="s">
        <v>23</v>
      </c>
      <c r="L336" s="3" t="s">
        <v>23</v>
      </c>
      <c r="P336" s="3" t="s">
        <v>1078</v>
      </c>
      <c r="Q336" t="s">
        <v>935</v>
      </c>
    </row>
    <row r="337" spans="1:17" x14ac:dyDescent="0.25">
      <c r="A337" s="5">
        <v>5715</v>
      </c>
      <c r="B337" s="3" t="s">
        <v>723</v>
      </c>
      <c r="C337" s="3" t="s">
        <v>40</v>
      </c>
      <c r="D337" s="3" t="s">
        <v>64</v>
      </c>
      <c r="E337" s="3">
        <v>21345</v>
      </c>
      <c r="F337" s="3" t="s">
        <v>936</v>
      </c>
      <c r="G337" s="9">
        <v>2500</v>
      </c>
      <c r="H337" s="3" t="s">
        <v>21</v>
      </c>
      <c r="I337" s="4">
        <v>45904</v>
      </c>
      <c r="J337" t="s">
        <v>22</v>
      </c>
      <c r="K337" s="3" t="s">
        <v>23</v>
      </c>
      <c r="L337" s="3" t="s">
        <v>23</v>
      </c>
      <c r="P337" s="3" t="s">
        <v>24</v>
      </c>
      <c r="Q337" t="s">
        <v>937</v>
      </c>
    </row>
    <row r="338" spans="1:17" x14ac:dyDescent="0.25">
      <c r="A338" s="5">
        <v>5716</v>
      </c>
      <c r="B338" s="3" t="s">
        <v>723</v>
      </c>
      <c r="C338" s="3" t="s">
        <v>184</v>
      </c>
      <c r="D338" s="3" t="s">
        <v>64</v>
      </c>
      <c r="E338" s="3">
        <v>21283</v>
      </c>
      <c r="F338" s="3" t="s">
        <v>938</v>
      </c>
      <c r="G338" s="9">
        <v>6300</v>
      </c>
      <c r="H338" s="3" t="s">
        <v>21</v>
      </c>
      <c r="I338" s="4">
        <v>45904</v>
      </c>
      <c r="J338" t="s">
        <v>22</v>
      </c>
      <c r="K338" s="3" t="s">
        <v>23</v>
      </c>
      <c r="L338" s="3" t="s">
        <v>23</v>
      </c>
      <c r="P338" s="3" t="s">
        <v>24</v>
      </c>
      <c r="Q338" t="s">
        <v>939</v>
      </c>
    </row>
    <row r="339" spans="1:17" x14ac:dyDescent="0.25">
      <c r="A339" s="5">
        <v>5717</v>
      </c>
      <c r="B339" s="3" t="s">
        <v>723</v>
      </c>
      <c r="C339" s="3" t="s">
        <v>29</v>
      </c>
      <c r="D339" s="3" t="s">
        <v>64</v>
      </c>
      <c r="E339" s="3">
        <v>21284</v>
      </c>
      <c r="F339" s="3" t="s">
        <v>940</v>
      </c>
      <c r="G339" s="9">
        <v>2750</v>
      </c>
      <c r="H339" s="3" t="s">
        <v>21</v>
      </c>
      <c r="I339" s="4">
        <v>45904</v>
      </c>
      <c r="J339" t="s">
        <v>22</v>
      </c>
      <c r="K339" s="3" t="s">
        <v>23</v>
      </c>
      <c r="L339" s="3" t="s">
        <v>23</v>
      </c>
      <c r="P339" s="3" t="s">
        <v>24</v>
      </c>
      <c r="Q339" t="s">
        <v>941</v>
      </c>
    </row>
    <row r="340" spans="1:17" x14ac:dyDescent="0.25">
      <c r="A340" s="5">
        <v>5718</v>
      </c>
      <c r="B340" s="3" t="s">
        <v>723</v>
      </c>
      <c r="C340" s="3" t="s">
        <v>40</v>
      </c>
      <c r="D340" s="3" t="s">
        <v>64</v>
      </c>
      <c r="E340" s="3">
        <v>21292</v>
      </c>
      <c r="F340" s="3" t="s">
        <v>942</v>
      </c>
      <c r="G340" s="9">
        <v>4700</v>
      </c>
      <c r="H340" s="3" t="s">
        <v>21</v>
      </c>
      <c r="I340" s="4">
        <v>45904</v>
      </c>
      <c r="J340" t="s">
        <v>22</v>
      </c>
      <c r="K340" s="3" t="s">
        <v>23</v>
      </c>
      <c r="L340" s="3" t="s">
        <v>23</v>
      </c>
      <c r="P340" s="3" t="s">
        <v>24</v>
      </c>
      <c r="Q340" t="s">
        <v>943</v>
      </c>
    </row>
    <row r="341" spans="1:17" x14ac:dyDescent="0.25">
      <c r="A341" s="5">
        <v>5719</v>
      </c>
      <c r="B341" s="3" t="s">
        <v>723</v>
      </c>
      <c r="C341" s="3" t="s">
        <v>18</v>
      </c>
      <c r="D341" s="3" t="s">
        <v>64</v>
      </c>
      <c r="E341" s="3">
        <v>21343</v>
      </c>
      <c r="F341" s="3" t="s">
        <v>944</v>
      </c>
      <c r="G341" s="9">
        <v>4250</v>
      </c>
      <c r="H341" s="3" t="s">
        <v>21</v>
      </c>
      <c r="I341" s="4">
        <v>45904</v>
      </c>
      <c r="J341" t="s">
        <v>22</v>
      </c>
      <c r="K341" s="3" t="s">
        <v>23</v>
      </c>
      <c r="L341" s="3" t="s">
        <v>23</v>
      </c>
      <c r="P341" s="3" t="s">
        <v>24</v>
      </c>
      <c r="Q341" t="s">
        <v>945</v>
      </c>
    </row>
    <row r="342" spans="1:17" x14ac:dyDescent="0.25">
      <c r="A342" s="5">
        <v>5722</v>
      </c>
      <c r="B342" s="3" t="s">
        <v>190</v>
      </c>
      <c r="C342" s="3" t="s">
        <v>40</v>
      </c>
      <c r="D342" s="3" t="s">
        <v>58</v>
      </c>
      <c r="E342" s="3" t="s">
        <v>946</v>
      </c>
      <c r="F342" s="3" t="s">
        <v>947</v>
      </c>
      <c r="G342" s="9">
        <v>5850</v>
      </c>
      <c r="H342" s="3" t="s">
        <v>21</v>
      </c>
      <c r="I342" s="3" t="s">
        <v>948</v>
      </c>
      <c r="J342" t="s">
        <v>22</v>
      </c>
      <c r="K342" s="3" t="s">
        <v>23</v>
      </c>
      <c r="L342" s="3" t="s">
        <v>23</v>
      </c>
      <c r="P342" s="3" t="s">
        <v>24</v>
      </c>
      <c r="Q342" t="s">
        <v>949</v>
      </c>
    </row>
    <row r="343" spans="1:17" x14ac:dyDescent="0.25">
      <c r="A343" s="5">
        <v>5723</v>
      </c>
      <c r="B343" s="3" t="s">
        <v>190</v>
      </c>
      <c r="C343" s="3" t="s">
        <v>29</v>
      </c>
      <c r="D343" s="3" t="s">
        <v>58</v>
      </c>
      <c r="E343" s="3" t="s">
        <v>950</v>
      </c>
      <c r="F343" s="3" t="s">
        <v>875</v>
      </c>
      <c r="G343" s="9">
        <v>950</v>
      </c>
      <c r="H343" s="3" t="s">
        <v>21</v>
      </c>
      <c r="I343" s="4">
        <v>45907</v>
      </c>
      <c r="J343" t="s">
        <v>22</v>
      </c>
      <c r="K343" s="3" t="s">
        <v>23</v>
      </c>
      <c r="L343" s="3" t="s">
        <v>23</v>
      </c>
      <c r="P343" s="3" t="s">
        <v>24</v>
      </c>
      <c r="Q343" t="s">
        <v>951</v>
      </c>
    </row>
    <row r="344" spans="1:17" x14ac:dyDescent="0.25">
      <c r="A344" s="5">
        <v>5724</v>
      </c>
      <c r="B344" s="3" t="s">
        <v>39</v>
      </c>
      <c r="C344" s="3" t="s">
        <v>40</v>
      </c>
      <c r="D344" s="3" t="s">
        <v>41</v>
      </c>
      <c r="E344" s="3" t="s">
        <v>952</v>
      </c>
      <c r="F344" s="3" t="s">
        <v>953</v>
      </c>
      <c r="G344" s="9">
        <v>1400</v>
      </c>
      <c r="H344" s="3" t="s">
        <v>21</v>
      </c>
      <c r="I344" s="4">
        <v>45908</v>
      </c>
      <c r="J344" t="s">
        <v>22</v>
      </c>
      <c r="K344" s="3" t="s">
        <v>23</v>
      </c>
      <c r="L344" s="3" t="s">
        <v>23</v>
      </c>
      <c r="P344" s="3" t="s">
        <v>24</v>
      </c>
      <c r="Q344" t="s">
        <v>954</v>
      </c>
    </row>
    <row r="345" spans="1:17" x14ac:dyDescent="0.25">
      <c r="A345" s="5">
        <v>5725</v>
      </c>
      <c r="B345" s="3" t="s">
        <v>39</v>
      </c>
      <c r="C345" s="3" t="s">
        <v>40</v>
      </c>
      <c r="D345" s="3" t="s">
        <v>41</v>
      </c>
      <c r="E345" s="3" t="s">
        <v>955</v>
      </c>
      <c r="F345" s="3" t="s">
        <v>715</v>
      </c>
      <c r="G345" s="9">
        <v>300</v>
      </c>
      <c r="H345" s="3" t="s">
        <v>21</v>
      </c>
      <c r="I345" s="4">
        <v>45908</v>
      </c>
      <c r="J345" t="s">
        <v>22</v>
      </c>
      <c r="K345" s="3" t="s">
        <v>23</v>
      </c>
      <c r="L345" s="3" t="s">
        <v>23</v>
      </c>
      <c r="P345" s="3" t="s">
        <v>24</v>
      </c>
      <c r="Q345" t="s">
        <v>956</v>
      </c>
    </row>
    <row r="346" spans="1:17" x14ac:dyDescent="0.25">
      <c r="A346" s="5">
        <v>5726</v>
      </c>
      <c r="B346" s="3" t="s">
        <v>17</v>
      </c>
      <c r="C346" s="3" t="s">
        <v>197</v>
      </c>
      <c r="D346" s="3" t="s">
        <v>35</v>
      </c>
      <c r="E346" s="3" t="s">
        <v>957</v>
      </c>
      <c r="F346" s="3" t="s">
        <v>958</v>
      </c>
      <c r="G346" s="9">
        <v>585</v>
      </c>
      <c r="H346" s="3" t="s">
        <v>21</v>
      </c>
      <c r="I346" s="4">
        <v>45914</v>
      </c>
      <c r="J346" t="s">
        <v>22</v>
      </c>
      <c r="K346" s="3" t="s">
        <v>23</v>
      </c>
      <c r="L346" s="3" t="s">
        <v>23</v>
      </c>
      <c r="P346" s="3" t="s">
        <v>24</v>
      </c>
      <c r="Q346" t="s">
        <v>959</v>
      </c>
    </row>
    <row r="347" spans="1:17" x14ac:dyDescent="0.25">
      <c r="A347" s="5">
        <v>5738</v>
      </c>
      <c r="B347" s="3" t="s">
        <v>190</v>
      </c>
      <c r="C347" s="3" t="s">
        <v>18</v>
      </c>
      <c r="D347" s="3" t="s">
        <v>58</v>
      </c>
      <c r="E347" s="3" t="s">
        <v>960</v>
      </c>
      <c r="F347" s="3" t="s">
        <v>961</v>
      </c>
      <c r="G347" s="9">
        <v>250</v>
      </c>
      <c r="H347" s="3" t="s">
        <v>21</v>
      </c>
      <c r="I347" s="4">
        <v>45916</v>
      </c>
      <c r="J347" t="s">
        <v>22</v>
      </c>
      <c r="K347" s="3" t="s">
        <v>23</v>
      </c>
      <c r="L347" s="3" t="s">
        <v>23</v>
      </c>
      <c r="P347" s="3" t="s">
        <v>24</v>
      </c>
      <c r="Q347" t="s">
        <v>962</v>
      </c>
    </row>
    <row r="348" spans="1:17" x14ac:dyDescent="0.25">
      <c r="A348" s="5">
        <v>5739</v>
      </c>
      <c r="B348" s="3" t="s">
        <v>190</v>
      </c>
      <c r="C348" s="3" t="s">
        <v>18</v>
      </c>
      <c r="D348" s="3" t="s">
        <v>58</v>
      </c>
      <c r="E348" s="3" t="s">
        <v>963</v>
      </c>
      <c r="F348" s="3" t="s">
        <v>964</v>
      </c>
      <c r="G348" s="9">
        <v>950</v>
      </c>
      <c r="H348" s="3" t="s">
        <v>21</v>
      </c>
      <c r="I348" s="4">
        <v>45916</v>
      </c>
      <c r="J348" t="s">
        <v>22</v>
      </c>
      <c r="K348" s="3" t="s">
        <v>23</v>
      </c>
      <c r="L348" s="3" t="s">
        <v>23</v>
      </c>
      <c r="P348" s="3" t="s">
        <v>24</v>
      </c>
      <c r="Q348" t="s">
        <v>965</v>
      </c>
    </row>
    <row r="349" spans="1:17" x14ac:dyDescent="0.25">
      <c r="A349" s="5">
        <v>5740</v>
      </c>
      <c r="B349" s="3" t="s">
        <v>793</v>
      </c>
      <c r="C349" s="3" t="s">
        <v>40</v>
      </c>
      <c r="D349" s="3" t="s">
        <v>108</v>
      </c>
      <c r="E349" s="3" t="s">
        <v>966</v>
      </c>
      <c r="F349" s="3" t="s">
        <v>967</v>
      </c>
      <c r="G349" s="15">
        <v>20603.2</v>
      </c>
      <c r="H349" s="3" t="s">
        <v>21</v>
      </c>
      <c r="I349" s="4">
        <v>45921</v>
      </c>
      <c r="J349" s="3" t="s">
        <v>968</v>
      </c>
      <c r="K349" s="3" t="s">
        <v>23</v>
      </c>
      <c r="L349" s="3" t="s">
        <v>23</v>
      </c>
      <c r="P349" s="3" t="s">
        <v>24</v>
      </c>
      <c r="Q349" t="s">
        <v>969</v>
      </c>
    </row>
    <row r="350" spans="1:17" x14ac:dyDescent="0.25">
      <c r="A350" s="5">
        <v>5741</v>
      </c>
      <c r="B350" s="3" t="s">
        <v>190</v>
      </c>
      <c r="C350" s="3" t="s">
        <v>40</v>
      </c>
      <c r="D350" s="3" t="s">
        <v>58</v>
      </c>
      <c r="E350" s="3" t="s">
        <v>970</v>
      </c>
      <c r="F350" s="3" t="s">
        <v>971</v>
      </c>
      <c r="G350" s="9">
        <v>11840</v>
      </c>
      <c r="H350" s="3" t="s">
        <v>21</v>
      </c>
      <c r="I350" s="4">
        <v>45922</v>
      </c>
      <c r="J350" t="s">
        <v>22</v>
      </c>
      <c r="K350" s="3" t="s">
        <v>23</v>
      </c>
      <c r="L350" s="3" t="s">
        <v>23</v>
      </c>
      <c r="P350" s="3" t="s">
        <v>24</v>
      </c>
      <c r="Q350" t="s">
        <v>972</v>
      </c>
    </row>
    <row r="351" spans="1:17" x14ac:dyDescent="0.25">
      <c r="A351" s="5">
        <v>5742</v>
      </c>
      <c r="B351" s="3" t="s">
        <v>107</v>
      </c>
      <c r="C351" s="3" t="s">
        <v>29</v>
      </c>
      <c r="D351" s="3" t="s">
        <v>108</v>
      </c>
      <c r="E351" s="3" t="s">
        <v>973</v>
      </c>
      <c r="F351" s="3" t="s">
        <v>974</v>
      </c>
      <c r="G351" s="9">
        <v>8450</v>
      </c>
      <c r="H351" s="3" t="s">
        <v>21</v>
      </c>
      <c r="I351" s="4">
        <v>45922</v>
      </c>
      <c r="J351" t="s">
        <v>469</v>
      </c>
      <c r="K351" s="3" t="s">
        <v>23</v>
      </c>
      <c r="L351" s="3" t="s">
        <v>23</v>
      </c>
      <c r="P351" s="3" t="s">
        <v>24</v>
      </c>
      <c r="Q351" t="s">
        <v>975</v>
      </c>
    </row>
    <row r="352" spans="1:17" x14ac:dyDescent="0.25">
      <c r="A352" s="5">
        <v>5747</v>
      </c>
      <c r="B352" s="3" t="s">
        <v>190</v>
      </c>
      <c r="C352" s="3" t="s">
        <v>18</v>
      </c>
      <c r="D352" s="3" t="s">
        <v>58</v>
      </c>
      <c r="E352" s="3" t="s">
        <v>976</v>
      </c>
      <c r="F352" s="3" t="s">
        <v>977</v>
      </c>
      <c r="G352" s="9">
        <v>3600</v>
      </c>
      <c r="H352" s="3" t="s">
        <v>21</v>
      </c>
      <c r="I352" s="4">
        <v>45924</v>
      </c>
      <c r="J352" t="s">
        <v>22</v>
      </c>
      <c r="K352" s="3" t="s">
        <v>23</v>
      </c>
      <c r="L352" s="3" t="s">
        <v>23</v>
      </c>
      <c r="P352" s="3" t="s">
        <v>24</v>
      </c>
      <c r="Q352" t="s">
        <v>978</v>
      </c>
    </row>
    <row r="353" spans="1:17" x14ac:dyDescent="0.25">
      <c r="A353" s="5">
        <v>5748</v>
      </c>
      <c r="B353" s="3" t="s">
        <v>190</v>
      </c>
      <c r="C353" s="3" t="s">
        <v>40</v>
      </c>
      <c r="D353" s="3" t="s">
        <v>58</v>
      </c>
      <c r="E353" s="3" t="s">
        <v>979</v>
      </c>
      <c r="F353" s="3" t="s">
        <v>913</v>
      </c>
      <c r="G353" s="9">
        <v>9900</v>
      </c>
      <c r="H353" s="3" t="s">
        <v>21</v>
      </c>
      <c r="I353" s="4">
        <v>45924</v>
      </c>
      <c r="J353" t="s">
        <v>469</v>
      </c>
      <c r="K353" s="3" t="s">
        <v>23</v>
      </c>
      <c r="L353" s="3" t="s">
        <v>23</v>
      </c>
      <c r="P353" s="3" t="s">
        <v>24</v>
      </c>
      <c r="Q353" t="s">
        <v>980</v>
      </c>
    </row>
    <row r="354" spans="1:17" x14ac:dyDescent="0.25">
      <c r="A354" s="5">
        <v>5749</v>
      </c>
      <c r="B354" s="3" t="s">
        <v>190</v>
      </c>
      <c r="C354" s="3" t="s">
        <v>40</v>
      </c>
      <c r="D354" s="3" t="s">
        <v>58</v>
      </c>
      <c r="E354" s="3" t="s">
        <v>981</v>
      </c>
      <c r="F354" s="3" t="s">
        <v>982</v>
      </c>
      <c r="G354" s="9">
        <v>1100</v>
      </c>
      <c r="H354" s="3" t="s">
        <v>21</v>
      </c>
      <c r="I354" s="4">
        <v>45924</v>
      </c>
      <c r="J354" t="s">
        <v>22</v>
      </c>
      <c r="K354" s="3" t="s">
        <v>23</v>
      </c>
      <c r="L354" s="3" t="s">
        <v>23</v>
      </c>
      <c r="P354" s="3" t="s">
        <v>24</v>
      </c>
      <c r="Q354" t="s">
        <v>983</v>
      </c>
    </row>
    <row r="355" spans="1:17" x14ac:dyDescent="0.25">
      <c r="A355" s="5">
        <v>5750</v>
      </c>
      <c r="B355" s="3" t="s">
        <v>190</v>
      </c>
      <c r="C355" s="3" t="s">
        <v>31</v>
      </c>
      <c r="D355" s="3" t="s">
        <v>58</v>
      </c>
      <c r="E355" s="3" t="s">
        <v>984</v>
      </c>
      <c r="F355" s="3" t="s">
        <v>985</v>
      </c>
      <c r="G355" s="9">
        <v>850</v>
      </c>
      <c r="H355" s="3" t="s">
        <v>21</v>
      </c>
      <c r="I355" s="4">
        <v>45924</v>
      </c>
      <c r="J355" t="s">
        <v>22</v>
      </c>
      <c r="K355" s="3" t="s">
        <v>23</v>
      </c>
      <c r="L355" s="3" t="s">
        <v>23</v>
      </c>
      <c r="P355" s="3" t="s">
        <v>24</v>
      </c>
      <c r="Q355" t="s">
        <v>986</v>
      </c>
    </row>
    <row r="356" spans="1:17" x14ac:dyDescent="0.25">
      <c r="A356" s="5">
        <v>5751</v>
      </c>
      <c r="B356" s="3" t="s">
        <v>190</v>
      </c>
      <c r="C356" s="3" t="s">
        <v>31</v>
      </c>
      <c r="D356" s="3" t="s">
        <v>58</v>
      </c>
      <c r="E356" s="3" t="s">
        <v>987</v>
      </c>
      <c r="F356" s="3" t="s">
        <v>988</v>
      </c>
      <c r="G356" s="9">
        <v>250</v>
      </c>
      <c r="H356" s="3" t="s">
        <v>21</v>
      </c>
      <c r="I356" s="4">
        <v>45924</v>
      </c>
      <c r="J356" t="s">
        <v>22</v>
      </c>
      <c r="K356" s="3" t="s">
        <v>23</v>
      </c>
      <c r="L356" s="3" t="s">
        <v>23</v>
      </c>
      <c r="P356" s="3" t="s">
        <v>24</v>
      </c>
      <c r="Q356" t="s">
        <v>989</v>
      </c>
    </row>
    <row r="357" spans="1:17" x14ac:dyDescent="0.25">
      <c r="A357" s="5">
        <v>5752</v>
      </c>
      <c r="B357" s="3" t="s">
        <v>17</v>
      </c>
      <c r="C357" s="3" t="s">
        <v>40</v>
      </c>
      <c r="D357" s="3" t="s">
        <v>19</v>
      </c>
      <c r="E357" s="3" t="s">
        <v>990</v>
      </c>
      <c r="F357" s="3" t="s">
        <v>991</v>
      </c>
      <c r="G357" s="9">
        <v>2200</v>
      </c>
      <c r="H357" s="3" t="s">
        <v>21</v>
      </c>
      <c r="I357" s="4">
        <v>45924</v>
      </c>
      <c r="J357" t="s">
        <v>22</v>
      </c>
      <c r="K357" s="3" t="s">
        <v>23</v>
      </c>
      <c r="L357" s="3" t="s">
        <v>23</v>
      </c>
      <c r="P357" s="3" t="s">
        <v>24</v>
      </c>
      <c r="Q357" t="s">
        <v>992</v>
      </c>
    </row>
    <row r="358" spans="1:17" x14ac:dyDescent="0.25">
      <c r="A358" s="5">
        <v>5753</v>
      </c>
      <c r="B358" s="3" t="s">
        <v>17</v>
      </c>
      <c r="C358" s="3" t="s">
        <v>40</v>
      </c>
      <c r="D358" s="3" t="s">
        <v>19</v>
      </c>
      <c r="E358" s="3" t="s">
        <v>993</v>
      </c>
      <c r="F358" s="3" t="s">
        <v>994</v>
      </c>
      <c r="G358" s="9">
        <v>1340</v>
      </c>
      <c r="H358" s="3" t="s">
        <v>21</v>
      </c>
      <c r="I358" s="4">
        <v>45924</v>
      </c>
      <c r="J358" t="s">
        <v>22</v>
      </c>
      <c r="K358" s="3" t="s">
        <v>23</v>
      </c>
      <c r="L358" s="3" t="s">
        <v>23</v>
      </c>
      <c r="P358" s="3" t="s">
        <v>24</v>
      </c>
      <c r="Q358" t="s">
        <v>995</v>
      </c>
    </row>
    <row r="359" spans="1:17" x14ac:dyDescent="0.25">
      <c r="A359" s="5">
        <v>5754</v>
      </c>
      <c r="B359" s="3" t="s">
        <v>17</v>
      </c>
      <c r="C359" s="3" t="s">
        <v>31</v>
      </c>
      <c r="D359" s="3" t="s">
        <v>19</v>
      </c>
      <c r="E359" s="3" t="s">
        <v>996</v>
      </c>
      <c r="F359" s="3" t="s">
        <v>997</v>
      </c>
      <c r="G359" s="9">
        <v>2660</v>
      </c>
      <c r="H359" s="3" t="s">
        <v>21</v>
      </c>
      <c r="I359" s="4">
        <v>45924</v>
      </c>
      <c r="J359" t="s">
        <v>22</v>
      </c>
      <c r="K359" s="3" t="s">
        <v>23</v>
      </c>
      <c r="L359" s="3" t="s">
        <v>23</v>
      </c>
      <c r="P359" s="3" t="s">
        <v>24</v>
      </c>
      <c r="Q359" t="s">
        <v>998</v>
      </c>
    </row>
    <row r="360" spans="1:17" x14ac:dyDescent="0.25">
      <c r="A360" s="5">
        <v>5755</v>
      </c>
      <c r="B360" s="3" t="s">
        <v>17</v>
      </c>
      <c r="C360" s="3" t="s">
        <v>29</v>
      </c>
      <c r="D360" s="3" t="s">
        <v>35</v>
      </c>
      <c r="E360" s="3" t="s">
        <v>999</v>
      </c>
      <c r="F360" s="3" t="s">
        <v>1000</v>
      </c>
      <c r="G360" s="9">
        <v>2100</v>
      </c>
      <c r="H360" s="3" t="s">
        <v>21</v>
      </c>
      <c r="I360" s="4">
        <v>45924</v>
      </c>
      <c r="J360" t="s">
        <v>22</v>
      </c>
      <c r="K360" s="3" t="s">
        <v>23</v>
      </c>
      <c r="L360" s="3" t="s">
        <v>23</v>
      </c>
      <c r="P360" s="3" t="s">
        <v>24</v>
      </c>
      <c r="Q360" t="s">
        <v>1001</v>
      </c>
    </row>
    <row r="361" spans="1:17" x14ac:dyDescent="0.25">
      <c r="A361" s="5">
        <v>5756</v>
      </c>
      <c r="B361" s="3" t="s">
        <v>76</v>
      </c>
      <c r="C361" s="3" t="s">
        <v>40</v>
      </c>
      <c r="D361" s="3" t="s">
        <v>77</v>
      </c>
      <c r="E361" s="3" t="s">
        <v>1002</v>
      </c>
      <c r="F361" s="3" t="s">
        <v>1003</v>
      </c>
      <c r="G361" s="9">
        <v>750</v>
      </c>
      <c r="H361" s="3" t="s">
        <v>21</v>
      </c>
      <c r="I361" s="3" t="s">
        <v>1004</v>
      </c>
      <c r="J361" t="s">
        <v>469</v>
      </c>
      <c r="K361" s="3" t="s">
        <v>23</v>
      </c>
      <c r="L361" s="3" t="s">
        <v>23</v>
      </c>
      <c r="M361" s="3" t="s">
        <v>271</v>
      </c>
      <c r="N361" s="3"/>
      <c r="O361" s="3"/>
      <c r="P361" s="3" t="s">
        <v>24</v>
      </c>
      <c r="Q361" t="s">
        <v>1005</v>
      </c>
    </row>
    <row r="362" spans="1:17" x14ac:dyDescent="0.25">
      <c r="A362" s="5">
        <v>5765</v>
      </c>
      <c r="B362" s="3" t="s">
        <v>729</v>
      </c>
      <c r="C362" s="3" t="s">
        <v>18</v>
      </c>
      <c r="D362" s="3" t="s">
        <v>108</v>
      </c>
      <c r="E362" s="3" t="s">
        <v>1006</v>
      </c>
      <c r="F362" s="3" t="s">
        <v>1007</v>
      </c>
      <c r="G362" s="9">
        <v>28125</v>
      </c>
      <c r="H362" s="3" t="s">
        <v>21</v>
      </c>
      <c r="I362" s="4">
        <v>45935</v>
      </c>
      <c r="J362" s="13" t="s">
        <v>1008</v>
      </c>
      <c r="K362" s="3" t="s">
        <v>23</v>
      </c>
      <c r="L362" s="3" t="s">
        <v>23</v>
      </c>
      <c r="P362" s="3" t="s">
        <v>24</v>
      </c>
      <c r="Q362" t="s">
        <v>1009</v>
      </c>
    </row>
    <row r="363" spans="1:17" x14ac:dyDescent="0.25">
      <c r="A363" s="5">
        <v>5766</v>
      </c>
      <c r="B363" s="3" t="s">
        <v>190</v>
      </c>
      <c r="C363" s="3" t="s">
        <v>197</v>
      </c>
      <c r="D363" s="3" t="s">
        <v>58</v>
      </c>
      <c r="E363" s="3" t="s">
        <v>1010</v>
      </c>
      <c r="F363" s="3" t="s">
        <v>1011</v>
      </c>
      <c r="G363" s="9">
        <v>3250</v>
      </c>
      <c r="H363" s="3" t="s">
        <v>21</v>
      </c>
      <c r="I363" s="4">
        <v>45935</v>
      </c>
      <c r="J363" t="s">
        <v>22</v>
      </c>
      <c r="K363" s="3" t="s">
        <v>23</v>
      </c>
      <c r="L363" s="3" t="s">
        <v>23</v>
      </c>
      <c r="P363" s="3" t="s">
        <v>24</v>
      </c>
      <c r="Q363" t="s">
        <v>1012</v>
      </c>
    </row>
    <row r="364" spans="1:17" x14ac:dyDescent="0.25">
      <c r="A364" s="5">
        <v>5767</v>
      </c>
      <c r="B364" s="3" t="s">
        <v>76</v>
      </c>
      <c r="C364" s="3" t="s">
        <v>40</v>
      </c>
      <c r="D364" s="3" t="s">
        <v>108</v>
      </c>
      <c r="E364" s="3" t="s">
        <v>1013</v>
      </c>
      <c r="F364" s="3" t="s">
        <v>1014</v>
      </c>
      <c r="G364" s="9">
        <v>8600</v>
      </c>
      <c r="H364" s="3" t="s">
        <v>21</v>
      </c>
      <c r="I364" s="4">
        <v>45936</v>
      </c>
      <c r="J364" t="s">
        <v>469</v>
      </c>
      <c r="K364" s="3" t="s">
        <v>23</v>
      </c>
      <c r="L364" s="3" t="s">
        <v>23</v>
      </c>
      <c r="P364" s="3" t="s">
        <v>24</v>
      </c>
      <c r="Q364" t="s">
        <v>1015</v>
      </c>
    </row>
    <row r="365" spans="1:17" x14ac:dyDescent="0.25">
      <c r="A365" s="5">
        <v>5768</v>
      </c>
      <c r="B365" s="3" t="s">
        <v>17</v>
      </c>
      <c r="C365" s="3" t="s">
        <v>184</v>
      </c>
      <c r="D365" s="3" t="s">
        <v>19</v>
      </c>
      <c r="E365" s="3" t="s">
        <v>1016</v>
      </c>
      <c r="F365" s="3" t="s">
        <v>1017</v>
      </c>
      <c r="G365" s="9">
        <v>1400</v>
      </c>
      <c r="H365" s="3" t="s">
        <v>21</v>
      </c>
      <c r="I365" s="4">
        <v>45937</v>
      </c>
      <c r="J365" t="s">
        <v>22</v>
      </c>
      <c r="K365" s="3" t="s">
        <v>23</v>
      </c>
      <c r="L365" s="3" t="s">
        <v>23</v>
      </c>
      <c r="P365" s="3" t="s">
        <v>24</v>
      </c>
      <c r="Q365" t="s">
        <v>1018</v>
      </c>
    </row>
    <row r="366" spans="1:17" x14ac:dyDescent="0.25">
      <c r="A366" s="5">
        <v>5769</v>
      </c>
      <c r="B366" s="3" t="s">
        <v>17</v>
      </c>
      <c r="C366" s="3" t="s">
        <v>29</v>
      </c>
      <c r="D366" s="3" t="s">
        <v>35</v>
      </c>
      <c r="E366" s="3" t="s">
        <v>1019</v>
      </c>
      <c r="F366" s="3" t="s">
        <v>1020</v>
      </c>
      <c r="G366" s="9">
        <v>850</v>
      </c>
      <c r="H366" s="3" t="s">
        <v>21</v>
      </c>
      <c r="I366" s="4">
        <v>45937</v>
      </c>
      <c r="J366" t="s">
        <v>22</v>
      </c>
      <c r="K366" s="3" t="s">
        <v>23</v>
      </c>
      <c r="L366" s="3" t="s">
        <v>23</v>
      </c>
      <c r="P366" s="3" t="s">
        <v>24</v>
      </c>
      <c r="Q366" t="s">
        <v>1021</v>
      </c>
    </row>
    <row r="367" spans="1:17" x14ac:dyDescent="0.25">
      <c r="A367" s="5">
        <v>5770</v>
      </c>
      <c r="B367" s="3" t="s">
        <v>17</v>
      </c>
      <c r="C367" s="3" t="s">
        <v>29</v>
      </c>
      <c r="D367" s="3" t="s">
        <v>35</v>
      </c>
      <c r="E367" s="3" t="s">
        <v>1022</v>
      </c>
      <c r="F367" s="3" t="s">
        <v>1023</v>
      </c>
      <c r="G367" s="9">
        <v>360</v>
      </c>
      <c r="H367" s="3" t="s">
        <v>21</v>
      </c>
      <c r="I367" s="4">
        <v>45937</v>
      </c>
      <c r="J367" t="s">
        <v>22</v>
      </c>
      <c r="K367" s="3" t="s">
        <v>23</v>
      </c>
      <c r="L367" s="3" t="s">
        <v>23</v>
      </c>
      <c r="P367" s="3" t="s">
        <v>24</v>
      </c>
      <c r="Q367" t="s">
        <v>1024</v>
      </c>
    </row>
    <row r="368" spans="1:17" x14ac:dyDescent="0.25">
      <c r="A368" s="5">
        <v>5771</v>
      </c>
      <c r="B368" s="3" t="s">
        <v>723</v>
      </c>
      <c r="C368" s="3" t="s">
        <v>18</v>
      </c>
      <c r="D368" s="3" t="s">
        <v>64</v>
      </c>
      <c r="E368" s="3">
        <v>41005</v>
      </c>
      <c r="F368" s="3" t="s">
        <v>1025</v>
      </c>
      <c r="G368" s="9">
        <v>2600</v>
      </c>
      <c r="H368" s="3" t="s">
        <v>21</v>
      </c>
      <c r="I368" s="4">
        <v>45945</v>
      </c>
      <c r="J368" t="s">
        <v>22</v>
      </c>
      <c r="K368" s="3" t="s">
        <v>23</v>
      </c>
      <c r="L368" s="3" t="s">
        <v>23</v>
      </c>
      <c r="P368" s="3" t="s">
        <v>24</v>
      </c>
      <c r="Q368" t="s">
        <v>1026</v>
      </c>
    </row>
    <row r="369" spans="1:17" x14ac:dyDescent="0.25">
      <c r="A369" s="5">
        <v>5772</v>
      </c>
      <c r="B369" s="3" t="s">
        <v>723</v>
      </c>
      <c r="C369" s="3" t="s">
        <v>18</v>
      </c>
      <c r="D369" s="3" t="s">
        <v>108</v>
      </c>
      <c r="E369" s="3">
        <v>41004</v>
      </c>
      <c r="F369" s="3" t="s">
        <v>1027</v>
      </c>
      <c r="G369" s="9">
        <v>4800</v>
      </c>
      <c r="H369" s="3" t="s">
        <v>21</v>
      </c>
      <c r="I369" s="4">
        <v>45945</v>
      </c>
      <c r="J369" t="s">
        <v>22</v>
      </c>
      <c r="K369" s="3" t="s">
        <v>23</v>
      </c>
      <c r="L369" s="3" t="s">
        <v>23</v>
      </c>
      <c r="P369" s="3" t="s">
        <v>24</v>
      </c>
      <c r="Q369" t="s">
        <v>1028</v>
      </c>
    </row>
    <row r="370" spans="1:17" x14ac:dyDescent="0.25">
      <c r="A370" s="5">
        <v>5773</v>
      </c>
      <c r="B370" s="3" t="s">
        <v>723</v>
      </c>
      <c r="C370" s="3" t="s">
        <v>40</v>
      </c>
      <c r="D370" s="3" t="s">
        <v>64</v>
      </c>
      <c r="E370" s="3">
        <v>41006</v>
      </c>
      <c r="F370" s="3" t="s">
        <v>1029</v>
      </c>
      <c r="G370" s="9">
        <v>1500</v>
      </c>
      <c r="H370" s="3" t="s">
        <v>21</v>
      </c>
      <c r="I370" s="4">
        <v>45945</v>
      </c>
      <c r="J370" t="s">
        <v>22</v>
      </c>
      <c r="K370" s="3" t="s">
        <v>23</v>
      </c>
      <c r="L370" s="3" t="s">
        <v>23</v>
      </c>
      <c r="P370" s="3" t="s">
        <v>24</v>
      </c>
      <c r="Q370" t="s">
        <v>1030</v>
      </c>
    </row>
    <row r="371" spans="1:17" x14ac:dyDescent="0.25">
      <c r="A371" s="5">
        <v>5774</v>
      </c>
      <c r="B371" s="3" t="s">
        <v>17</v>
      </c>
      <c r="C371" s="3" t="s">
        <v>40</v>
      </c>
      <c r="D371" s="3" t="s">
        <v>19</v>
      </c>
      <c r="E371" s="3" t="s">
        <v>1031</v>
      </c>
      <c r="F371" s="3" t="s">
        <v>1032</v>
      </c>
      <c r="G371" s="9">
        <v>1300</v>
      </c>
      <c r="H371" s="3" t="s">
        <v>21</v>
      </c>
      <c r="I371" s="4">
        <v>45946</v>
      </c>
      <c r="J371" t="s">
        <v>22</v>
      </c>
      <c r="K371" s="3" t="s">
        <v>23</v>
      </c>
      <c r="L371" s="3" t="s">
        <v>23</v>
      </c>
      <c r="P371" s="3" t="s">
        <v>24</v>
      </c>
      <c r="Q371" t="s">
        <v>1033</v>
      </c>
    </row>
    <row r="372" spans="1:17" x14ac:dyDescent="0.25">
      <c r="A372" s="5">
        <v>5779</v>
      </c>
      <c r="B372" s="3" t="s">
        <v>17</v>
      </c>
      <c r="C372" s="3" t="s">
        <v>40</v>
      </c>
      <c r="D372" s="3" t="s">
        <v>19</v>
      </c>
      <c r="E372" s="3" t="s">
        <v>1034</v>
      </c>
      <c r="F372" s="3" t="s">
        <v>1035</v>
      </c>
      <c r="G372" s="9">
        <v>1200</v>
      </c>
      <c r="H372" s="3" t="s">
        <v>21</v>
      </c>
      <c r="I372" s="4">
        <v>45946</v>
      </c>
      <c r="J372" t="s">
        <v>22</v>
      </c>
      <c r="K372" s="3" t="s">
        <v>23</v>
      </c>
      <c r="L372" s="3" t="s">
        <v>23</v>
      </c>
      <c r="P372" s="3" t="s">
        <v>24</v>
      </c>
      <c r="Q372" t="s">
        <v>1036</v>
      </c>
    </row>
    <row r="373" spans="1:17" x14ac:dyDescent="0.25">
      <c r="A373" s="5">
        <v>5780</v>
      </c>
      <c r="B373" s="3" t="s">
        <v>17</v>
      </c>
      <c r="C373" s="3" t="s">
        <v>40</v>
      </c>
      <c r="D373" s="3" t="s">
        <v>19</v>
      </c>
      <c r="E373" s="3" t="s">
        <v>1037</v>
      </c>
      <c r="F373" s="3" t="s">
        <v>1038</v>
      </c>
      <c r="G373" s="9">
        <v>1200</v>
      </c>
      <c r="H373" s="3" t="s">
        <v>21</v>
      </c>
      <c r="I373" s="4">
        <v>45946</v>
      </c>
      <c r="J373" t="s">
        <v>22</v>
      </c>
      <c r="K373" s="3" t="s">
        <v>23</v>
      </c>
      <c r="L373" s="3" t="s">
        <v>23</v>
      </c>
      <c r="P373" s="3" t="s">
        <v>24</v>
      </c>
      <c r="Q373" t="s">
        <v>1039</v>
      </c>
    </row>
    <row r="374" spans="1:17" x14ac:dyDescent="0.25">
      <c r="A374" s="5">
        <v>5781</v>
      </c>
      <c r="B374" s="3" t="s">
        <v>190</v>
      </c>
      <c r="C374" s="3" t="s">
        <v>184</v>
      </c>
      <c r="D374" s="3" t="s">
        <v>58</v>
      </c>
      <c r="E374" s="3" t="s">
        <v>1040</v>
      </c>
      <c r="F374" s="3" t="s">
        <v>1041</v>
      </c>
      <c r="G374" s="9">
        <v>750</v>
      </c>
      <c r="H374" s="3" t="s">
        <v>21</v>
      </c>
      <c r="I374" s="4">
        <v>45946</v>
      </c>
      <c r="J374" t="s">
        <v>22</v>
      </c>
      <c r="K374" s="3" t="s">
        <v>23</v>
      </c>
      <c r="L374" s="3" t="s">
        <v>23</v>
      </c>
      <c r="P374" s="3" t="s">
        <v>24</v>
      </c>
      <c r="Q374" t="s">
        <v>1042</v>
      </c>
    </row>
    <row r="375" spans="1:17" x14ac:dyDescent="0.25">
      <c r="A375" s="5">
        <v>5782</v>
      </c>
      <c r="B375" s="3" t="s">
        <v>39</v>
      </c>
      <c r="C375" s="3" t="s">
        <v>18</v>
      </c>
      <c r="D375" s="3" t="s">
        <v>64</v>
      </c>
      <c r="E375" s="3" t="s">
        <v>1043</v>
      </c>
      <c r="F375" s="3" t="s">
        <v>1044</v>
      </c>
      <c r="G375" s="9">
        <v>350</v>
      </c>
      <c r="H375" s="3" t="s">
        <v>21</v>
      </c>
      <c r="I375" s="4">
        <v>45946</v>
      </c>
      <c r="J375" t="s">
        <v>22</v>
      </c>
      <c r="K375" s="3" t="s">
        <v>23</v>
      </c>
      <c r="L375" s="3" t="s">
        <v>23</v>
      </c>
      <c r="P375" s="3" t="s">
        <v>24</v>
      </c>
      <c r="Q375" t="s">
        <v>1045</v>
      </c>
    </row>
    <row r="376" spans="1:17" x14ac:dyDescent="0.25">
      <c r="A376" s="5">
        <v>5783</v>
      </c>
      <c r="B376" s="3" t="s">
        <v>190</v>
      </c>
      <c r="C376" s="3" t="s">
        <v>29</v>
      </c>
      <c r="D376" s="3" t="s">
        <v>58</v>
      </c>
      <c r="E376" s="3" t="s">
        <v>1046</v>
      </c>
      <c r="F376" s="3" t="s">
        <v>1047</v>
      </c>
      <c r="G376" s="9">
        <v>395</v>
      </c>
      <c r="H376" s="3" t="s">
        <v>21</v>
      </c>
      <c r="I376" s="4">
        <v>45946</v>
      </c>
      <c r="J376" t="s">
        <v>22</v>
      </c>
      <c r="K376" s="3" t="s">
        <v>23</v>
      </c>
      <c r="L376" s="3" t="s">
        <v>23</v>
      </c>
      <c r="P376" s="3" t="s">
        <v>24</v>
      </c>
      <c r="Q376" t="s">
        <v>1048</v>
      </c>
    </row>
    <row r="377" spans="1:17" x14ac:dyDescent="0.25">
      <c r="A377" s="5">
        <v>5784</v>
      </c>
      <c r="B377" s="3" t="s">
        <v>190</v>
      </c>
      <c r="C377" s="3" t="s">
        <v>29</v>
      </c>
      <c r="D377" s="3" t="s">
        <v>58</v>
      </c>
      <c r="E377" s="3" t="s">
        <v>1049</v>
      </c>
      <c r="F377" s="3" t="s">
        <v>1050</v>
      </c>
      <c r="G377" s="9">
        <v>880</v>
      </c>
      <c r="H377" s="3" t="s">
        <v>21</v>
      </c>
      <c r="I377" s="4">
        <v>45946</v>
      </c>
      <c r="J377" t="s">
        <v>22</v>
      </c>
      <c r="K377" s="3" t="s">
        <v>23</v>
      </c>
      <c r="L377" s="3" t="s">
        <v>23</v>
      </c>
      <c r="P377" s="3" t="s">
        <v>24</v>
      </c>
      <c r="Q377" t="s">
        <v>1051</v>
      </c>
    </row>
    <row r="378" spans="1:17" x14ac:dyDescent="0.25">
      <c r="A378" s="5">
        <v>5785</v>
      </c>
      <c r="B378" s="3" t="s">
        <v>190</v>
      </c>
      <c r="C378" s="3" t="s">
        <v>40</v>
      </c>
      <c r="D378" s="3" t="s">
        <v>58</v>
      </c>
      <c r="E378" s="3" t="s">
        <v>1052</v>
      </c>
      <c r="F378" s="3" t="s">
        <v>1053</v>
      </c>
      <c r="G378" s="9">
        <v>3900</v>
      </c>
      <c r="H378" s="3" t="s">
        <v>21</v>
      </c>
      <c r="I378" s="4">
        <v>45946</v>
      </c>
      <c r="J378" t="s">
        <v>22</v>
      </c>
      <c r="K378" s="3" t="s">
        <v>23</v>
      </c>
      <c r="L378" s="3" t="s">
        <v>23</v>
      </c>
      <c r="P378" s="3" t="s">
        <v>24</v>
      </c>
      <c r="Q378" t="s">
        <v>1054</v>
      </c>
    </row>
    <row r="379" spans="1:17" x14ac:dyDescent="0.25">
      <c r="A379" s="5">
        <v>5786</v>
      </c>
      <c r="B379" s="3" t="s">
        <v>190</v>
      </c>
      <c r="C379" s="3" t="s">
        <v>197</v>
      </c>
      <c r="D379" s="3" t="s">
        <v>58</v>
      </c>
      <c r="E379" s="3" t="s">
        <v>1055</v>
      </c>
      <c r="F379" s="3" t="s">
        <v>1056</v>
      </c>
      <c r="G379" s="9">
        <v>650</v>
      </c>
      <c r="H379" s="3" t="s">
        <v>21</v>
      </c>
      <c r="I379" s="4">
        <v>45946</v>
      </c>
      <c r="J379" t="s">
        <v>22</v>
      </c>
      <c r="K379" s="3" t="s">
        <v>23</v>
      </c>
      <c r="L379" s="3" t="s">
        <v>23</v>
      </c>
      <c r="P379" s="3" t="s">
        <v>24</v>
      </c>
      <c r="Q379" t="s">
        <v>1057</v>
      </c>
    </row>
    <row r="380" spans="1:17" x14ac:dyDescent="0.25">
      <c r="A380" s="5">
        <v>5787</v>
      </c>
      <c r="B380" s="3" t="s">
        <v>190</v>
      </c>
      <c r="C380" s="3" t="s">
        <v>31</v>
      </c>
      <c r="D380" s="3" t="s">
        <v>58</v>
      </c>
      <c r="E380" s="3" t="s">
        <v>1058</v>
      </c>
      <c r="F380" s="3" t="s">
        <v>1059</v>
      </c>
      <c r="G380" s="9">
        <v>2350</v>
      </c>
      <c r="H380" s="3" t="s">
        <v>21</v>
      </c>
      <c r="I380" s="4">
        <v>45946</v>
      </c>
      <c r="J380" t="s">
        <v>22</v>
      </c>
      <c r="K380" s="3" t="s">
        <v>23</v>
      </c>
      <c r="L380" s="3" t="s">
        <v>23</v>
      </c>
      <c r="P380" s="3" t="s">
        <v>24</v>
      </c>
      <c r="Q380" t="s">
        <v>1060</v>
      </c>
    </row>
    <row r="381" spans="1:17" x14ac:dyDescent="0.25">
      <c r="A381" s="5">
        <v>5788</v>
      </c>
      <c r="B381" s="3" t="s">
        <v>190</v>
      </c>
      <c r="C381" s="3" t="s">
        <v>29</v>
      </c>
      <c r="D381" s="3" t="s">
        <v>58</v>
      </c>
      <c r="E381" s="3" t="s">
        <v>1061</v>
      </c>
      <c r="F381" s="3" t="s">
        <v>1062</v>
      </c>
      <c r="G381" s="9">
        <v>2200</v>
      </c>
      <c r="H381" s="3" t="s">
        <v>21</v>
      </c>
      <c r="I381" s="4">
        <v>45946</v>
      </c>
      <c r="J381" t="s">
        <v>22</v>
      </c>
      <c r="K381" s="3" t="s">
        <v>23</v>
      </c>
      <c r="L381" s="3" t="s">
        <v>23</v>
      </c>
      <c r="P381" s="3" t="s">
        <v>24</v>
      </c>
      <c r="Q381" t="s">
        <v>1063</v>
      </c>
    </row>
    <row r="382" spans="1:17" x14ac:dyDescent="0.25">
      <c r="A382" s="5">
        <v>5790</v>
      </c>
      <c r="B382" s="3" t="s">
        <v>107</v>
      </c>
      <c r="C382" s="3" t="s">
        <v>40</v>
      </c>
      <c r="D382" s="3" t="s">
        <v>108</v>
      </c>
      <c r="E382" s="3" t="s">
        <v>1064</v>
      </c>
      <c r="F382" s="3" t="s">
        <v>571</v>
      </c>
      <c r="G382" s="9">
        <v>2810</v>
      </c>
      <c r="H382" s="3" t="s">
        <v>21</v>
      </c>
      <c r="I382" s="4">
        <v>45949</v>
      </c>
      <c r="J382" t="s">
        <v>469</v>
      </c>
      <c r="K382" s="3" t="s">
        <v>23</v>
      </c>
      <c r="L382" s="3" t="s">
        <v>23</v>
      </c>
      <c r="P382" s="3" t="s">
        <v>24</v>
      </c>
      <c r="Q382" t="s">
        <v>1065</v>
      </c>
    </row>
    <row r="383" spans="1:17" x14ac:dyDescent="0.25">
      <c r="A383" s="5">
        <v>5791</v>
      </c>
      <c r="B383" s="3" t="s">
        <v>723</v>
      </c>
      <c r="C383" s="3" t="s">
        <v>40</v>
      </c>
      <c r="D383" s="3" t="s">
        <v>64</v>
      </c>
      <c r="E383" s="3">
        <v>21364</v>
      </c>
      <c r="F383" s="3" t="s">
        <v>1066</v>
      </c>
      <c r="G383" s="9">
        <v>34500</v>
      </c>
      <c r="H383" s="3" t="s">
        <v>21</v>
      </c>
      <c r="I383" s="4">
        <v>45952</v>
      </c>
      <c r="J383" t="s">
        <v>1067</v>
      </c>
      <c r="K383" s="3" t="s">
        <v>23</v>
      </c>
      <c r="L383" s="3" t="s">
        <v>23</v>
      </c>
      <c r="P383" s="3" t="s">
        <v>24</v>
      </c>
      <c r="Q383" t="s">
        <v>1068</v>
      </c>
    </row>
    <row r="384" spans="1:17" x14ac:dyDescent="0.25">
      <c r="A384" s="5">
        <v>5792</v>
      </c>
      <c r="B384" s="3" t="s">
        <v>39</v>
      </c>
      <c r="C384" s="3" t="s">
        <v>18</v>
      </c>
      <c r="D384" s="3" t="s">
        <v>41</v>
      </c>
      <c r="E384" s="3" t="s">
        <v>1069</v>
      </c>
      <c r="F384" s="3" t="s">
        <v>1070</v>
      </c>
      <c r="G384" s="9">
        <v>950</v>
      </c>
      <c r="H384" s="3" t="s">
        <v>21</v>
      </c>
      <c r="I384" s="4">
        <v>45955</v>
      </c>
      <c r="J384" t="s">
        <v>22</v>
      </c>
      <c r="K384" s="3" t="s">
        <v>23</v>
      </c>
      <c r="L384" s="3" t="s">
        <v>23</v>
      </c>
      <c r="P384" s="3" t="s">
        <v>24</v>
      </c>
      <c r="Q384" t="s">
        <v>1071</v>
      </c>
    </row>
    <row r="385" spans="1:17" x14ac:dyDescent="0.25">
      <c r="A385" s="5">
        <v>5793</v>
      </c>
      <c r="B385" s="3" t="s">
        <v>723</v>
      </c>
      <c r="C385" s="3" t="s">
        <v>40</v>
      </c>
      <c r="D385" s="3" t="s">
        <v>64</v>
      </c>
      <c r="E385" s="3">
        <v>21363</v>
      </c>
      <c r="F385" s="3" t="s">
        <v>1072</v>
      </c>
      <c r="G385" s="9">
        <v>22500</v>
      </c>
      <c r="H385" s="3" t="s">
        <v>21</v>
      </c>
      <c r="I385" s="4">
        <v>45957</v>
      </c>
      <c r="J385" t="s">
        <v>1073</v>
      </c>
      <c r="K385" s="3" t="s">
        <v>23</v>
      </c>
      <c r="L385" s="3" t="s">
        <v>23</v>
      </c>
      <c r="P385" s="3" t="s">
        <v>24</v>
      </c>
      <c r="Q385" t="s">
        <v>1074</v>
      </c>
    </row>
    <row r="386" spans="1:17" x14ac:dyDescent="0.25">
      <c r="A386" s="5">
        <v>5794</v>
      </c>
      <c r="B386" s="3" t="s">
        <v>190</v>
      </c>
      <c r="C386" s="3" t="s">
        <v>197</v>
      </c>
      <c r="D386" s="3" t="s">
        <v>58</v>
      </c>
      <c r="E386" s="3" t="s">
        <v>1075</v>
      </c>
      <c r="F386" s="3" t="s">
        <v>1076</v>
      </c>
      <c r="G386" s="9">
        <v>110</v>
      </c>
      <c r="H386" s="3" t="s">
        <v>21</v>
      </c>
      <c r="I386" s="4">
        <v>45966</v>
      </c>
      <c r="J386" t="s">
        <v>22</v>
      </c>
      <c r="K386" s="3" t="s">
        <v>23</v>
      </c>
      <c r="L386" s="3" t="s">
        <v>23</v>
      </c>
      <c r="N386" s="19">
        <v>45981</v>
      </c>
      <c r="O386" t="s">
        <v>1077</v>
      </c>
      <c r="P386" s="3" t="s">
        <v>24</v>
      </c>
      <c r="Q386" t="s">
        <v>1079</v>
      </c>
    </row>
    <row r="387" spans="1:17" x14ac:dyDescent="0.25">
      <c r="A387" s="5">
        <v>5811</v>
      </c>
      <c r="B387" s="3" t="s">
        <v>39</v>
      </c>
      <c r="C387" s="3" t="s">
        <v>184</v>
      </c>
      <c r="D387" s="3" t="s">
        <v>41</v>
      </c>
      <c r="E387" s="3" t="s">
        <v>1080</v>
      </c>
      <c r="F387" s="3" t="s">
        <v>1081</v>
      </c>
      <c r="G387" s="9">
        <v>190</v>
      </c>
      <c r="H387" s="3" t="s">
        <v>21</v>
      </c>
      <c r="I387" s="4">
        <v>45966</v>
      </c>
      <c r="J387" t="s">
        <v>22</v>
      </c>
      <c r="K387" s="3" t="s">
        <v>23</v>
      </c>
      <c r="L387" s="3" t="s">
        <v>23</v>
      </c>
      <c r="P387" s="3" t="s">
        <v>24</v>
      </c>
      <c r="Q387" t="s">
        <v>1082</v>
      </c>
    </row>
    <row r="388" spans="1:17" x14ac:dyDescent="0.25">
      <c r="A388" s="5">
        <v>5812</v>
      </c>
      <c r="B388" s="3" t="s">
        <v>17</v>
      </c>
      <c r="C388" s="3" t="s">
        <v>184</v>
      </c>
      <c r="D388" s="3" t="s">
        <v>19</v>
      </c>
      <c r="E388" s="3" t="s">
        <v>1083</v>
      </c>
      <c r="F388" s="3" t="s">
        <v>1084</v>
      </c>
      <c r="G388" s="9">
        <v>1350</v>
      </c>
      <c r="H388" s="3" t="s">
        <v>21</v>
      </c>
      <c r="I388" s="4">
        <v>45966</v>
      </c>
      <c r="J388" t="s">
        <v>22</v>
      </c>
      <c r="K388" s="3" t="s">
        <v>23</v>
      </c>
      <c r="L388" s="3" t="s">
        <v>23</v>
      </c>
      <c r="P388" s="3" t="s">
        <v>24</v>
      </c>
      <c r="Q388" t="s">
        <v>1085</v>
      </c>
    </row>
    <row r="389" spans="1:17" x14ac:dyDescent="0.25">
      <c r="A389" s="5">
        <v>5813</v>
      </c>
      <c r="B389" s="3" t="s">
        <v>107</v>
      </c>
      <c r="C389" s="3" t="s">
        <v>29</v>
      </c>
      <c r="D389" s="3" t="s">
        <v>108</v>
      </c>
      <c r="E389" s="3" t="s">
        <v>1086</v>
      </c>
      <c r="F389" s="3" t="s">
        <v>1087</v>
      </c>
      <c r="G389" s="9">
        <v>4650</v>
      </c>
      <c r="H389" s="3" t="s">
        <v>21</v>
      </c>
      <c r="I389" s="4">
        <v>45966</v>
      </c>
      <c r="J389" t="s">
        <v>469</v>
      </c>
      <c r="K389" s="3" t="s">
        <v>23</v>
      </c>
      <c r="L389" s="3" t="s">
        <v>23</v>
      </c>
      <c r="P389" s="3" t="s">
        <v>24</v>
      </c>
      <c r="Q389" t="s">
        <v>1088</v>
      </c>
    </row>
    <row r="390" spans="1:17" x14ac:dyDescent="0.25">
      <c r="A390" s="5">
        <v>5814</v>
      </c>
      <c r="B390" s="3" t="s">
        <v>1089</v>
      </c>
      <c r="C390" s="3" t="s">
        <v>40</v>
      </c>
      <c r="D390" s="3" t="s">
        <v>64</v>
      </c>
      <c r="E390" s="3" t="s">
        <v>1090</v>
      </c>
      <c r="F390" s="3" t="s">
        <v>1091</v>
      </c>
      <c r="G390" s="9">
        <v>35000</v>
      </c>
      <c r="H390" s="3" t="s">
        <v>21</v>
      </c>
      <c r="I390" s="4">
        <v>45977</v>
      </c>
      <c r="J390" s="13" t="s">
        <v>1092</v>
      </c>
      <c r="K390" s="3" t="s">
        <v>23</v>
      </c>
      <c r="L390" s="3" t="s">
        <v>23</v>
      </c>
      <c r="P390" s="3" t="s">
        <v>1078</v>
      </c>
      <c r="Q390" t="s">
        <v>1093</v>
      </c>
    </row>
    <row r="391" spans="1:17" x14ac:dyDescent="0.25">
      <c r="A391" s="5">
        <v>5815</v>
      </c>
      <c r="B391" s="3" t="s">
        <v>190</v>
      </c>
      <c r="C391" s="3" t="s">
        <v>40</v>
      </c>
      <c r="D391" s="3" t="s">
        <v>58</v>
      </c>
      <c r="E391" s="3" t="s">
        <v>1094</v>
      </c>
      <c r="F391" s="3" t="s">
        <v>1095</v>
      </c>
      <c r="G391" s="9">
        <v>3000</v>
      </c>
      <c r="H391" s="3" t="s">
        <v>21</v>
      </c>
      <c r="I391" s="4">
        <v>45979</v>
      </c>
      <c r="J391" t="s">
        <v>22</v>
      </c>
      <c r="K391" s="3" t="s">
        <v>23</v>
      </c>
      <c r="L391" s="3" t="s">
        <v>23</v>
      </c>
      <c r="P391" s="3" t="s">
        <v>24</v>
      </c>
      <c r="Q391" t="s">
        <v>1096</v>
      </c>
    </row>
    <row r="392" spans="1:17" x14ac:dyDescent="0.25">
      <c r="A392" s="5">
        <v>5816</v>
      </c>
      <c r="B392" s="3" t="s">
        <v>107</v>
      </c>
      <c r="C392" s="3" t="s">
        <v>40</v>
      </c>
      <c r="D392" s="3" t="s">
        <v>108</v>
      </c>
      <c r="E392" s="3" t="s">
        <v>1097</v>
      </c>
      <c r="F392" s="3" t="s">
        <v>1098</v>
      </c>
      <c r="G392" s="9">
        <v>3060</v>
      </c>
      <c r="H392" s="3" t="s">
        <v>21</v>
      </c>
      <c r="I392" s="4">
        <v>45980</v>
      </c>
      <c r="J392" t="s">
        <v>469</v>
      </c>
      <c r="K392" s="3" t="s">
        <v>23</v>
      </c>
      <c r="L392" s="3" t="s">
        <v>23</v>
      </c>
      <c r="P392" s="3" t="s">
        <v>24</v>
      </c>
      <c r="Q392" t="s">
        <v>1099</v>
      </c>
    </row>
    <row r="393" spans="1:17" x14ac:dyDescent="0.25">
      <c r="A393" s="5">
        <v>5817</v>
      </c>
      <c r="B393" s="3" t="s">
        <v>190</v>
      </c>
      <c r="C393" s="3" t="s">
        <v>29</v>
      </c>
      <c r="D393" s="3" t="s">
        <v>58</v>
      </c>
      <c r="E393" s="3" t="s">
        <v>1100</v>
      </c>
      <c r="F393" s="3" t="s">
        <v>1101</v>
      </c>
      <c r="G393" s="9">
        <v>960</v>
      </c>
      <c r="H393" s="3" t="s">
        <v>21</v>
      </c>
      <c r="I393" s="3" t="s">
        <v>1102</v>
      </c>
      <c r="J393" t="s">
        <v>22</v>
      </c>
      <c r="K393" s="3" t="s">
        <v>23</v>
      </c>
      <c r="L393" s="3" t="s">
        <v>23</v>
      </c>
      <c r="P393" s="3" t="s">
        <v>24</v>
      </c>
      <c r="Q393" t="s">
        <v>1103</v>
      </c>
    </row>
    <row r="394" spans="1:17" x14ac:dyDescent="0.25">
      <c r="A394" s="5">
        <v>5818</v>
      </c>
      <c r="B394" s="3" t="s">
        <v>190</v>
      </c>
      <c r="C394" s="3" t="s">
        <v>29</v>
      </c>
      <c r="D394" s="3" t="s">
        <v>58</v>
      </c>
      <c r="E394" s="3" t="s">
        <v>1104</v>
      </c>
      <c r="F394" s="3" t="s">
        <v>931</v>
      </c>
      <c r="G394" s="9">
        <v>110</v>
      </c>
      <c r="H394" s="3" t="s">
        <v>21</v>
      </c>
      <c r="I394" s="4">
        <v>45981</v>
      </c>
      <c r="J394" t="s">
        <v>22</v>
      </c>
      <c r="K394" s="3" t="s">
        <v>23</v>
      </c>
      <c r="L394" s="3" t="s">
        <v>23</v>
      </c>
      <c r="P394" s="3" t="s">
        <v>24</v>
      </c>
      <c r="Q394" t="s">
        <v>1105</v>
      </c>
    </row>
    <row r="395" spans="1:17" x14ac:dyDescent="0.25">
      <c r="A395" s="5">
        <v>5819</v>
      </c>
      <c r="B395" s="3" t="s">
        <v>190</v>
      </c>
      <c r="C395" s="3" t="s">
        <v>184</v>
      </c>
      <c r="D395" s="3" t="s">
        <v>58</v>
      </c>
      <c r="E395" s="3" t="s">
        <v>1106</v>
      </c>
      <c r="F395" s="3" t="s">
        <v>1107</v>
      </c>
      <c r="G395" s="9">
        <v>180</v>
      </c>
      <c r="H395" s="3" t="s">
        <v>21</v>
      </c>
      <c r="I395" s="4">
        <v>45981</v>
      </c>
      <c r="J395" t="s">
        <v>22</v>
      </c>
      <c r="K395" s="3" t="s">
        <v>23</v>
      </c>
      <c r="L395" s="3" t="s">
        <v>23</v>
      </c>
      <c r="P395" s="3" t="s">
        <v>24</v>
      </c>
      <c r="Q395" t="s">
        <v>1108</v>
      </c>
    </row>
    <row r="396" spans="1:17" x14ac:dyDescent="0.25">
      <c r="A396" s="5">
        <v>5820</v>
      </c>
      <c r="B396" s="3" t="s">
        <v>190</v>
      </c>
      <c r="C396" s="3" t="s">
        <v>18</v>
      </c>
      <c r="D396" s="3" t="s">
        <v>58</v>
      </c>
      <c r="E396" s="3" t="s">
        <v>1109</v>
      </c>
      <c r="F396" s="3" t="s">
        <v>1110</v>
      </c>
      <c r="G396" s="9">
        <v>650</v>
      </c>
      <c r="H396" s="3" t="s">
        <v>21</v>
      </c>
      <c r="I396" s="4">
        <v>45981</v>
      </c>
      <c r="J396" t="s">
        <v>22</v>
      </c>
      <c r="K396" s="3" t="s">
        <v>23</v>
      </c>
      <c r="L396" s="3" t="s">
        <v>23</v>
      </c>
      <c r="P396" s="3" t="s">
        <v>24</v>
      </c>
      <c r="Q396" t="s">
        <v>1111</v>
      </c>
    </row>
    <row r="397" spans="1:17" x14ac:dyDescent="0.25">
      <c r="A397" s="5">
        <v>5835</v>
      </c>
      <c r="B397" s="3" t="s">
        <v>761</v>
      </c>
      <c r="C397" s="3" t="s">
        <v>40</v>
      </c>
      <c r="D397" s="3" t="s">
        <v>654</v>
      </c>
      <c r="E397" s="3" t="s">
        <v>1112</v>
      </c>
      <c r="F397" s="3" t="s">
        <v>763</v>
      </c>
      <c r="G397" s="9">
        <v>5950</v>
      </c>
      <c r="H397" s="16" t="s">
        <v>21</v>
      </c>
      <c r="I397" s="4">
        <v>45984</v>
      </c>
      <c r="J397" t="s">
        <v>503</v>
      </c>
      <c r="K397" s="3" t="s">
        <v>764</v>
      </c>
      <c r="L397" s="3" t="s">
        <v>23</v>
      </c>
      <c r="P397" s="3" t="s">
        <v>1078</v>
      </c>
      <c r="Q397" t="s">
        <v>1113</v>
      </c>
    </row>
    <row r="398" spans="1:17" x14ac:dyDescent="0.25">
      <c r="A398" s="5">
        <v>5836</v>
      </c>
      <c r="B398" s="3" t="s">
        <v>729</v>
      </c>
      <c r="C398" s="3" t="s">
        <v>29</v>
      </c>
      <c r="D398" s="3" t="s">
        <v>108</v>
      </c>
      <c r="E398" s="3" t="s">
        <v>1114</v>
      </c>
      <c r="F398" s="3" t="s">
        <v>1115</v>
      </c>
      <c r="G398" s="9">
        <v>2757</v>
      </c>
      <c r="H398" s="3" t="s">
        <v>21</v>
      </c>
      <c r="I398" s="4">
        <v>45985</v>
      </c>
      <c r="J398" t="s">
        <v>469</v>
      </c>
      <c r="K398" s="3" t="s">
        <v>23</v>
      </c>
      <c r="L398" s="3" t="s">
        <v>23</v>
      </c>
      <c r="P398" s="3" t="s">
        <v>24</v>
      </c>
      <c r="Q398" t="s">
        <v>1116</v>
      </c>
    </row>
    <row r="399" spans="1:17" x14ac:dyDescent="0.25">
      <c r="A399" s="5">
        <v>5837</v>
      </c>
      <c r="B399" s="3" t="s">
        <v>729</v>
      </c>
      <c r="C399" s="3" t="s">
        <v>40</v>
      </c>
      <c r="D399" s="3" t="s">
        <v>108</v>
      </c>
      <c r="E399" s="3" t="s">
        <v>1117</v>
      </c>
      <c r="F399" s="3" t="s">
        <v>1118</v>
      </c>
      <c r="G399" s="9">
        <v>1470</v>
      </c>
      <c r="H399" s="3" t="s">
        <v>21</v>
      </c>
      <c r="I399" s="4">
        <v>45986</v>
      </c>
      <c r="J399" t="s">
        <v>469</v>
      </c>
      <c r="K399" s="3" t="s">
        <v>23</v>
      </c>
      <c r="L399" s="3" t="s">
        <v>23</v>
      </c>
      <c r="P399" s="3" t="s">
        <v>24</v>
      </c>
      <c r="Q399" t="s">
        <v>1119</v>
      </c>
    </row>
    <row r="400" spans="1:17" x14ac:dyDescent="0.25">
      <c r="A400" s="5">
        <v>5838</v>
      </c>
      <c r="B400" s="3" t="s">
        <v>190</v>
      </c>
      <c r="C400" s="3" t="s">
        <v>184</v>
      </c>
      <c r="D400" s="3" t="s">
        <v>58</v>
      </c>
      <c r="E400" s="3" t="s">
        <v>1120</v>
      </c>
      <c r="F400" s="3" t="s">
        <v>1121</v>
      </c>
      <c r="G400" s="9">
        <v>3000</v>
      </c>
      <c r="H400" s="3" t="s">
        <v>21</v>
      </c>
      <c r="I400" s="4">
        <v>45986</v>
      </c>
      <c r="J400" t="s">
        <v>469</v>
      </c>
      <c r="K400" s="3" t="s">
        <v>23</v>
      </c>
      <c r="L400" s="3" t="s">
        <v>23</v>
      </c>
      <c r="P400" s="3" t="s">
        <v>24</v>
      </c>
      <c r="Q400" t="s">
        <v>1122</v>
      </c>
    </row>
    <row r="401" spans="1:17" x14ac:dyDescent="0.25">
      <c r="A401" s="5">
        <v>5839</v>
      </c>
      <c r="B401" s="3" t="s">
        <v>17</v>
      </c>
      <c r="C401" s="3" t="s">
        <v>18</v>
      </c>
      <c r="D401" s="3" t="s">
        <v>35</v>
      </c>
      <c r="E401" s="3" t="s">
        <v>1123</v>
      </c>
      <c r="F401" s="3" t="s">
        <v>1124</v>
      </c>
      <c r="G401" s="9">
        <v>350</v>
      </c>
      <c r="H401" s="3" t="s">
        <v>21</v>
      </c>
      <c r="I401" s="4">
        <v>45992</v>
      </c>
      <c r="J401" t="s">
        <v>469</v>
      </c>
      <c r="K401" s="3" t="s">
        <v>23</v>
      </c>
      <c r="L401" s="3" t="s">
        <v>23</v>
      </c>
      <c r="P401" s="3" t="s">
        <v>24</v>
      </c>
      <c r="Q401" t="s">
        <v>1125</v>
      </c>
    </row>
    <row r="402" spans="1:17" x14ac:dyDescent="0.25">
      <c r="A402" s="5">
        <v>5860</v>
      </c>
      <c r="B402" s="3" t="s">
        <v>1126</v>
      </c>
      <c r="C402" s="3" t="s">
        <v>40</v>
      </c>
      <c r="D402" s="3" t="s">
        <v>156</v>
      </c>
      <c r="E402" s="3" t="s">
        <v>1127</v>
      </c>
      <c r="F402" s="3" t="s">
        <v>1128</v>
      </c>
      <c r="G402" s="9">
        <v>3132</v>
      </c>
      <c r="H402" s="3" t="s">
        <v>21</v>
      </c>
      <c r="I402" s="4">
        <v>45992</v>
      </c>
      <c r="J402" t="s">
        <v>469</v>
      </c>
      <c r="K402" s="3" t="s">
        <v>23</v>
      </c>
      <c r="L402" s="3" t="s">
        <v>23</v>
      </c>
      <c r="P402" s="3" t="s">
        <v>24</v>
      </c>
      <c r="Q402" t="s">
        <v>1129</v>
      </c>
    </row>
    <row r="403" spans="1:17" x14ac:dyDescent="0.25">
      <c r="A403" s="5">
        <v>5861</v>
      </c>
      <c r="B403" s="3" t="s">
        <v>190</v>
      </c>
      <c r="C403" s="3" t="s">
        <v>40</v>
      </c>
      <c r="D403" s="3" t="s">
        <v>58</v>
      </c>
      <c r="E403" s="3" t="s">
        <v>1130</v>
      </c>
      <c r="F403" s="3" t="s">
        <v>1131</v>
      </c>
      <c r="G403" s="9">
        <v>2700</v>
      </c>
      <c r="H403" s="3" t="s">
        <v>21</v>
      </c>
      <c r="I403" s="4">
        <v>46005</v>
      </c>
      <c r="J403" t="s">
        <v>22</v>
      </c>
      <c r="K403" s="3" t="s">
        <v>23</v>
      </c>
      <c r="L403" s="3" t="s">
        <v>23</v>
      </c>
      <c r="N403" s="19">
        <v>46029</v>
      </c>
      <c r="O403" t="s">
        <v>1132</v>
      </c>
      <c r="P403" s="3" t="s">
        <v>1078</v>
      </c>
      <c r="Q403" t="s">
        <v>1133</v>
      </c>
    </row>
    <row r="404" spans="1:17" x14ac:dyDescent="0.25">
      <c r="A404" s="5">
        <v>5862</v>
      </c>
      <c r="B404" s="3" t="s">
        <v>190</v>
      </c>
      <c r="C404" s="3" t="s">
        <v>29</v>
      </c>
      <c r="D404" s="3" t="s">
        <v>58</v>
      </c>
      <c r="E404" s="3" t="s">
        <v>1134</v>
      </c>
      <c r="F404" s="3" t="s">
        <v>385</v>
      </c>
      <c r="G404" s="9">
        <v>350</v>
      </c>
      <c r="H404" s="3" t="s">
        <v>21</v>
      </c>
      <c r="I404" s="4">
        <v>46005</v>
      </c>
      <c r="J404" t="s">
        <v>22</v>
      </c>
      <c r="K404" s="3" t="s">
        <v>23</v>
      </c>
      <c r="L404" s="3" t="s">
        <v>23</v>
      </c>
      <c r="P404" s="3" t="s">
        <v>24</v>
      </c>
      <c r="Q404" t="s">
        <v>1135</v>
      </c>
    </row>
    <row r="405" spans="1:17" x14ac:dyDescent="0.25">
      <c r="A405" s="5">
        <v>5863</v>
      </c>
      <c r="B405" s="3" t="s">
        <v>190</v>
      </c>
      <c r="C405" s="3" t="s">
        <v>184</v>
      </c>
      <c r="D405" s="3" t="s">
        <v>58</v>
      </c>
      <c r="E405" s="3" t="s">
        <v>1136</v>
      </c>
      <c r="F405" s="3" t="s">
        <v>1137</v>
      </c>
      <c r="G405" s="9">
        <v>1200</v>
      </c>
      <c r="H405" s="3" t="s">
        <v>21</v>
      </c>
      <c r="I405" s="4">
        <v>46005</v>
      </c>
      <c r="J405" t="s">
        <v>22</v>
      </c>
      <c r="K405" s="3" t="s">
        <v>23</v>
      </c>
      <c r="L405" s="3" t="s">
        <v>23</v>
      </c>
      <c r="P405" s="3" t="s">
        <v>24</v>
      </c>
      <c r="Q405" t="s">
        <v>1138</v>
      </c>
    </row>
    <row r="406" spans="1:17" x14ac:dyDescent="0.25">
      <c r="A406" s="5">
        <v>5864</v>
      </c>
      <c r="B406" s="3" t="s">
        <v>190</v>
      </c>
      <c r="C406" s="3" t="s">
        <v>29</v>
      </c>
      <c r="D406" s="3" t="s">
        <v>58</v>
      </c>
      <c r="E406" s="3" t="s">
        <v>1139</v>
      </c>
      <c r="F406" s="3" t="s">
        <v>385</v>
      </c>
      <c r="G406" s="9">
        <v>350</v>
      </c>
      <c r="H406" s="3" t="s">
        <v>21</v>
      </c>
      <c r="I406" s="4">
        <v>46005</v>
      </c>
      <c r="J406" t="s">
        <v>22</v>
      </c>
      <c r="K406" s="3" t="s">
        <v>23</v>
      </c>
      <c r="L406" s="3" t="s">
        <v>23</v>
      </c>
      <c r="P406" s="3" t="s">
        <v>24</v>
      </c>
      <c r="Q406" t="s">
        <v>1140</v>
      </c>
    </row>
    <row r="407" spans="1:17" x14ac:dyDescent="0.25">
      <c r="A407" s="5">
        <v>5872</v>
      </c>
      <c r="B407" s="3" t="s">
        <v>107</v>
      </c>
      <c r="C407" s="3" t="s">
        <v>40</v>
      </c>
      <c r="D407" s="3" t="s">
        <v>108</v>
      </c>
      <c r="E407" s="3" t="s">
        <v>1141</v>
      </c>
      <c r="F407" s="3" t="s">
        <v>1142</v>
      </c>
      <c r="G407" s="9">
        <v>1105</v>
      </c>
      <c r="H407" s="3" t="s">
        <v>21</v>
      </c>
      <c r="I407" s="4">
        <v>46006</v>
      </c>
      <c r="J407" t="s">
        <v>469</v>
      </c>
      <c r="K407" s="3" t="s">
        <v>23</v>
      </c>
      <c r="L407" s="3" t="s">
        <v>23</v>
      </c>
      <c r="P407" s="3" t="s">
        <v>24</v>
      </c>
      <c r="Q407" t="s">
        <v>1143</v>
      </c>
    </row>
    <row r="408" spans="1:17" x14ac:dyDescent="0.25">
      <c r="A408" s="5">
        <v>5873</v>
      </c>
      <c r="B408" s="3" t="s">
        <v>630</v>
      </c>
      <c r="C408" s="3" t="s">
        <v>40</v>
      </c>
      <c r="D408" s="3" t="s">
        <v>654</v>
      </c>
      <c r="E408" s="3" t="s">
        <v>1144</v>
      </c>
      <c r="F408" s="3" t="s">
        <v>1145</v>
      </c>
      <c r="G408" s="9">
        <v>3894</v>
      </c>
      <c r="H408" s="3" t="s">
        <v>21</v>
      </c>
      <c r="I408" s="4">
        <v>46015</v>
      </c>
      <c r="J408" s="13" t="s">
        <v>1146</v>
      </c>
      <c r="K408" s="3" t="s">
        <v>23</v>
      </c>
      <c r="L408" s="3" t="s">
        <v>23</v>
      </c>
      <c r="P408" s="3" t="s">
        <v>1078</v>
      </c>
      <c r="Q408" t="s">
        <v>1147</v>
      </c>
    </row>
    <row r="409" spans="1:17" x14ac:dyDescent="0.25">
      <c r="A409" s="5">
        <v>5874</v>
      </c>
      <c r="B409" s="3" t="s">
        <v>190</v>
      </c>
      <c r="C409" s="3" t="s">
        <v>184</v>
      </c>
      <c r="D409" s="3" t="s">
        <v>58</v>
      </c>
      <c r="E409" s="3" t="s">
        <v>1148</v>
      </c>
      <c r="F409" s="3" t="s">
        <v>1149</v>
      </c>
      <c r="G409" s="9">
        <v>1480</v>
      </c>
      <c r="H409" s="3" t="s">
        <v>21</v>
      </c>
      <c r="I409" s="4">
        <v>46015</v>
      </c>
      <c r="J409" t="s">
        <v>22</v>
      </c>
      <c r="K409" s="3" t="s">
        <v>23</v>
      </c>
      <c r="L409" s="3" t="s">
        <v>23</v>
      </c>
      <c r="P409" s="3" t="s">
        <v>24</v>
      </c>
      <c r="Q409" t="s">
        <v>1150</v>
      </c>
    </row>
    <row r="410" spans="1:17" x14ac:dyDescent="0.25">
      <c r="A410" s="5">
        <v>5875</v>
      </c>
      <c r="B410" s="3" t="s">
        <v>190</v>
      </c>
      <c r="C410" s="3" t="s">
        <v>29</v>
      </c>
      <c r="D410" s="3" t="s">
        <v>58</v>
      </c>
      <c r="E410" s="3" t="s">
        <v>1151</v>
      </c>
      <c r="F410" s="3" t="s">
        <v>1152</v>
      </c>
      <c r="G410" s="9">
        <v>350</v>
      </c>
      <c r="H410" s="3" t="s">
        <v>21</v>
      </c>
      <c r="I410" s="4">
        <v>46019</v>
      </c>
      <c r="J410" t="s">
        <v>22</v>
      </c>
      <c r="K410" s="3" t="s">
        <v>23</v>
      </c>
      <c r="L410" s="3" t="s">
        <v>23</v>
      </c>
      <c r="P410" s="3" t="s">
        <v>24</v>
      </c>
      <c r="Q410" t="s">
        <v>1153</v>
      </c>
    </row>
    <row r="411" spans="1:17" x14ac:dyDescent="0.25">
      <c r="A411" s="5">
        <v>5876</v>
      </c>
      <c r="B411" s="3" t="s">
        <v>17</v>
      </c>
      <c r="C411" s="3" t="s">
        <v>184</v>
      </c>
      <c r="D411" s="3" t="s">
        <v>19</v>
      </c>
      <c r="E411" s="3" t="s">
        <v>1154</v>
      </c>
      <c r="F411" s="3" t="s">
        <v>1155</v>
      </c>
      <c r="G411" s="9">
        <v>150</v>
      </c>
      <c r="H411" s="3" t="s">
        <v>21</v>
      </c>
      <c r="I411" s="4">
        <v>46020</v>
      </c>
      <c r="J411" t="s">
        <v>22</v>
      </c>
      <c r="K411" s="3" t="s">
        <v>23</v>
      </c>
      <c r="L411" s="3" t="s">
        <v>23</v>
      </c>
      <c r="P411" s="3" t="s">
        <v>24</v>
      </c>
      <c r="Q411" t="s">
        <v>1156</v>
      </c>
    </row>
    <row r="412" spans="1:17" x14ac:dyDescent="0.25">
      <c r="A412" s="5">
        <v>5898</v>
      </c>
      <c r="B412" s="3" t="s">
        <v>17</v>
      </c>
      <c r="C412" s="3" t="s">
        <v>197</v>
      </c>
      <c r="D412" s="3" t="s">
        <v>19</v>
      </c>
      <c r="E412" s="3" t="s">
        <v>1157</v>
      </c>
      <c r="F412" s="3" t="s">
        <v>1158</v>
      </c>
      <c r="G412" s="9">
        <v>500</v>
      </c>
      <c r="H412" s="3" t="s">
        <v>21</v>
      </c>
      <c r="I412" s="4">
        <v>46020</v>
      </c>
      <c r="J412" t="s">
        <v>22</v>
      </c>
      <c r="K412" s="3" t="s">
        <v>23</v>
      </c>
      <c r="L412" s="3" t="s">
        <v>23</v>
      </c>
      <c r="P412" s="3" t="s">
        <v>24</v>
      </c>
      <c r="Q412" t="s">
        <v>1159</v>
      </c>
    </row>
    <row r="413" spans="1:17" x14ac:dyDescent="0.25">
      <c r="A413" s="5">
        <v>5899</v>
      </c>
      <c r="B413" s="3" t="s">
        <v>17</v>
      </c>
      <c r="C413" s="3" t="s">
        <v>40</v>
      </c>
      <c r="D413" s="3" t="s">
        <v>19</v>
      </c>
      <c r="E413" s="3" t="s">
        <v>1160</v>
      </c>
      <c r="F413" s="3" t="s">
        <v>1161</v>
      </c>
      <c r="G413" s="9">
        <v>120</v>
      </c>
      <c r="H413" s="3" t="s">
        <v>21</v>
      </c>
      <c r="I413" s="4">
        <v>46020</v>
      </c>
      <c r="J413" t="s">
        <v>22</v>
      </c>
      <c r="K413" s="3" t="s">
        <v>23</v>
      </c>
      <c r="L413" s="3" t="s">
        <v>23</v>
      </c>
      <c r="P413" s="3" t="s">
        <v>24</v>
      </c>
      <c r="Q413" t="s">
        <v>1162</v>
      </c>
    </row>
    <row r="414" spans="1:17" x14ac:dyDescent="0.25">
      <c r="A414" s="5">
        <v>5900</v>
      </c>
      <c r="B414" s="3" t="s">
        <v>17</v>
      </c>
      <c r="C414" s="3" t="s">
        <v>18</v>
      </c>
      <c r="D414" s="3" t="s">
        <v>19</v>
      </c>
      <c r="E414" s="3" t="s">
        <v>1163</v>
      </c>
      <c r="F414" s="3" t="s">
        <v>1164</v>
      </c>
      <c r="G414" s="9">
        <v>1150</v>
      </c>
      <c r="H414" s="3" t="s">
        <v>21</v>
      </c>
      <c r="I414" s="4">
        <v>46020</v>
      </c>
      <c r="J414" t="s">
        <v>22</v>
      </c>
      <c r="K414" s="3" t="s">
        <v>23</v>
      </c>
      <c r="L414" s="3" t="s">
        <v>23</v>
      </c>
      <c r="P414" s="3" t="s">
        <v>24</v>
      </c>
      <c r="Q414" t="s">
        <v>1165</v>
      </c>
    </row>
    <row r="415" spans="1:17" x14ac:dyDescent="0.25">
      <c r="A415" s="5">
        <v>5901</v>
      </c>
      <c r="B415" s="3" t="s">
        <v>17</v>
      </c>
      <c r="C415" s="3" t="s">
        <v>184</v>
      </c>
      <c r="D415" s="3" t="s">
        <v>19</v>
      </c>
      <c r="E415" s="3" t="s">
        <v>1166</v>
      </c>
      <c r="F415" s="3" t="s">
        <v>1167</v>
      </c>
      <c r="G415" s="9">
        <v>500</v>
      </c>
      <c r="H415" s="3" t="s">
        <v>21</v>
      </c>
      <c r="I415" s="4">
        <v>46020</v>
      </c>
      <c r="J415" t="s">
        <v>22</v>
      </c>
      <c r="K415" s="3" t="s">
        <v>23</v>
      </c>
      <c r="L415" s="3" t="s">
        <v>23</v>
      </c>
      <c r="P415" s="3" t="s">
        <v>24</v>
      </c>
      <c r="Q415" t="s">
        <v>1168</v>
      </c>
    </row>
    <row r="416" spans="1:17" x14ac:dyDescent="0.25">
      <c r="A416" s="5">
        <v>5902</v>
      </c>
      <c r="B416" s="3" t="s">
        <v>17</v>
      </c>
      <c r="C416" s="3" t="s">
        <v>184</v>
      </c>
      <c r="D416" s="3" t="s">
        <v>19</v>
      </c>
      <c r="E416" s="3" t="s">
        <v>1169</v>
      </c>
      <c r="F416" s="3" t="s">
        <v>1170</v>
      </c>
      <c r="G416" s="9">
        <v>1450</v>
      </c>
      <c r="H416" s="3" t="s">
        <v>21</v>
      </c>
      <c r="I416" s="4">
        <v>46020</v>
      </c>
      <c r="J416" t="s">
        <v>22</v>
      </c>
      <c r="K416" s="3" t="s">
        <v>23</v>
      </c>
      <c r="L416" s="3" t="s">
        <v>23</v>
      </c>
      <c r="P416" s="3" t="s">
        <v>24</v>
      </c>
      <c r="Q416" t="s">
        <v>1171</v>
      </c>
    </row>
    <row r="417" spans="1:17" x14ac:dyDescent="0.25">
      <c r="A417" s="5">
        <v>5903</v>
      </c>
      <c r="B417" s="3" t="s">
        <v>17</v>
      </c>
      <c r="C417" s="3" t="s">
        <v>197</v>
      </c>
      <c r="D417" s="3" t="s">
        <v>19</v>
      </c>
      <c r="E417" s="3" t="s">
        <v>1172</v>
      </c>
      <c r="F417" s="3" t="s">
        <v>1173</v>
      </c>
      <c r="G417" s="9">
        <v>1050</v>
      </c>
      <c r="H417" s="3" t="s">
        <v>21</v>
      </c>
      <c r="I417" s="4">
        <v>46020</v>
      </c>
      <c r="J417" t="s">
        <v>22</v>
      </c>
      <c r="K417" s="3" t="s">
        <v>23</v>
      </c>
      <c r="L417" s="3" t="s">
        <v>23</v>
      </c>
      <c r="P417" s="3" t="s">
        <v>24</v>
      </c>
      <c r="Q417" t="s">
        <v>1174</v>
      </c>
    </row>
    <row r="418" spans="1:17" x14ac:dyDescent="0.25">
      <c r="A418" s="5">
        <v>5904</v>
      </c>
      <c r="B418" s="3" t="s">
        <v>560</v>
      </c>
      <c r="C418" s="3" t="s">
        <v>40</v>
      </c>
      <c r="D418" s="3" t="s">
        <v>156</v>
      </c>
      <c r="E418" s="3" t="s">
        <v>1175</v>
      </c>
      <c r="F418" s="3" t="s">
        <v>1176</v>
      </c>
      <c r="G418" s="9">
        <v>1800</v>
      </c>
      <c r="H418" s="3" t="s">
        <v>21</v>
      </c>
      <c r="I418" s="4">
        <v>46040</v>
      </c>
      <c r="J418" t="s">
        <v>469</v>
      </c>
      <c r="K418" s="3" t="s">
        <v>23</v>
      </c>
      <c r="L418" s="3" t="s">
        <v>23</v>
      </c>
      <c r="P418" s="3" t="s">
        <v>24</v>
      </c>
      <c r="Q418" t="s">
        <v>1177</v>
      </c>
    </row>
    <row r="419" spans="1:17" x14ac:dyDescent="0.25">
      <c r="A419" s="5">
        <v>5905</v>
      </c>
      <c r="B419" s="3" t="s">
        <v>1178</v>
      </c>
      <c r="C419" s="3" t="s">
        <v>40</v>
      </c>
      <c r="D419" s="3" t="s">
        <v>108</v>
      </c>
      <c r="E419" s="3" t="s">
        <v>1179</v>
      </c>
      <c r="F419" s="3" t="s">
        <v>1180</v>
      </c>
      <c r="G419" s="9">
        <v>12800</v>
      </c>
      <c r="H419" s="3" t="s">
        <v>21</v>
      </c>
      <c r="I419" s="4">
        <v>46040</v>
      </c>
      <c r="J419" t="s">
        <v>469</v>
      </c>
      <c r="K419" s="3" t="s">
        <v>23</v>
      </c>
      <c r="L419" s="3" t="s">
        <v>23</v>
      </c>
      <c r="P419" s="3" t="s">
        <v>24</v>
      </c>
      <c r="Q419" t="s">
        <v>1181</v>
      </c>
    </row>
    <row r="420" spans="1:17" x14ac:dyDescent="0.25">
      <c r="A420" s="5">
        <v>5906</v>
      </c>
      <c r="B420" s="3" t="s">
        <v>17</v>
      </c>
      <c r="C420" s="3" t="s">
        <v>40</v>
      </c>
      <c r="D420" s="3" t="s">
        <v>35</v>
      </c>
      <c r="E420" s="3" t="s">
        <v>1182</v>
      </c>
      <c r="F420" s="3" t="s">
        <v>1183</v>
      </c>
      <c r="G420" s="9">
        <v>4950</v>
      </c>
      <c r="H420" s="3" t="s">
        <v>21</v>
      </c>
      <c r="I420" s="4">
        <v>46040</v>
      </c>
      <c r="J420" t="s">
        <v>469</v>
      </c>
      <c r="K420" s="3" t="s">
        <v>23</v>
      </c>
      <c r="L420" s="3" t="s">
        <v>23</v>
      </c>
      <c r="P420" s="3" t="s">
        <v>1078</v>
      </c>
      <c r="Q420" t="s">
        <v>1184</v>
      </c>
    </row>
    <row r="421" spans="1:17" x14ac:dyDescent="0.25">
      <c r="A421" s="5">
        <v>5907</v>
      </c>
      <c r="B421" s="3" t="s">
        <v>159</v>
      </c>
      <c r="C421" s="3" t="s">
        <v>184</v>
      </c>
      <c r="D421" s="3" t="s">
        <v>19</v>
      </c>
      <c r="E421" s="3" t="s">
        <v>1185</v>
      </c>
      <c r="F421" s="3" t="s">
        <v>1186</v>
      </c>
      <c r="G421" s="9">
        <v>2500</v>
      </c>
      <c r="H421" s="3" t="s">
        <v>21</v>
      </c>
      <c r="I421" s="4">
        <v>46041</v>
      </c>
      <c r="J421" t="s">
        <v>22</v>
      </c>
      <c r="K421" s="3" t="s">
        <v>23</v>
      </c>
      <c r="L421" s="3" t="s">
        <v>23</v>
      </c>
      <c r="P421" s="3" t="s">
        <v>1078</v>
      </c>
      <c r="Q421" t="s">
        <v>1187</v>
      </c>
    </row>
    <row r="422" spans="1:17" x14ac:dyDescent="0.25">
      <c r="A422" s="5">
        <v>5927</v>
      </c>
      <c r="B422" s="3" t="s">
        <v>190</v>
      </c>
      <c r="C422" s="3" t="s">
        <v>29</v>
      </c>
      <c r="D422" s="3" t="s">
        <v>58</v>
      </c>
      <c r="E422" s="3" t="s">
        <v>1188</v>
      </c>
      <c r="F422" s="3" t="s">
        <v>1189</v>
      </c>
      <c r="G422" s="9">
        <v>1200</v>
      </c>
      <c r="H422" s="3" t="s">
        <v>21</v>
      </c>
      <c r="I422" s="4">
        <v>46048</v>
      </c>
      <c r="J422" t="s">
        <v>22</v>
      </c>
      <c r="K422" s="3" t="s">
        <v>23</v>
      </c>
      <c r="L422" s="3" t="s">
        <v>23</v>
      </c>
      <c r="P422" s="3" t="s">
        <v>24</v>
      </c>
      <c r="Q422" t="s">
        <v>1190</v>
      </c>
    </row>
    <row r="423" spans="1:17" x14ac:dyDescent="0.25">
      <c r="A423" s="5">
        <v>5928</v>
      </c>
      <c r="B423" s="3" t="s">
        <v>190</v>
      </c>
      <c r="C423" s="3" t="s">
        <v>40</v>
      </c>
      <c r="D423" s="3" t="s">
        <v>58</v>
      </c>
      <c r="E423" s="3" t="s">
        <v>1191</v>
      </c>
      <c r="F423" s="3" t="s">
        <v>1192</v>
      </c>
      <c r="G423" s="9">
        <v>352</v>
      </c>
      <c r="H423" s="3" t="s">
        <v>21</v>
      </c>
      <c r="I423" s="4">
        <v>46048</v>
      </c>
      <c r="J423" t="s">
        <v>22</v>
      </c>
      <c r="K423" s="3" t="s">
        <v>23</v>
      </c>
      <c r="L423" s="3" t="s">
        <v>23</v>
      </c>
      <c r="P423" s="3" t="s">
        <v>24</v>
      </c>
      <c r="Q423" t="s">
        <v>1193</v>
      </c>
    </row>
    <row r="424" spans="1:17" x14ac:dyDescent="0.25">
      <c r="A424" s="5">
        <v>5929</v>
      </c>
      <c r="B424" s="3" t="s">
        <v>190</v>
      </c>
      <c r="C424" s="3" t="s">
        <v>40</v>
      </c>
      <c r="D424" s="3" t="s">
        <v>58</v>
      </c>
      <c r="E424" s="3" t="s">
        <v>1194</v>
      </c>
      <c r="F424" s="3" t="s">
        <v>1195</v>
      </c>
      <c r="G424" s="9">
        <v>375</v>
      </c>
      <c r="H424" s="3" t="s">
        <v>21</v>
      </c>
      <c r="I424" s="4">
        <v>46048</v>
      </c>
      <c r="J424" t="s">
        <v>22</v>
      </c>
      <c r="K424" s="3" t="s">
        <v>23</v>
      </c>
      <c r="L424" s="3" t="s">
        <v>23</v>
      </c>
      <c r="P424" s="3" t="s">
        <v>24</v>
      </c>
      <c r="Q424" t="s">
        <v>1196</v>
      </c>
    </row>
    <row r="425" spans="1:17" x14ac:dyDescent="0.25">
      <c r="A425" s="5">
        <v>5930</v>
      </c>
      <c r="B425" s="3" t="s">
        <v>190</v>
      </c>
      <c r="C425" s="3" t="s">
        <v>29</v>
      </c>
      <c r="D425" s="3" t="s">
        <v>58</v>
      </c>
      <c r="E425" s="3" t="s">
        <v>1197</v>
      </c>
      <c r="F425" s="3" t="s">
        <v>1198</v>
      </c>
      <c r="G425" s="9">
        <v>2300</v>
      </c>
      <c r="H425" s="3" t="s">
        <v>21</v>
      </c>
      <c r="I425" s="4">
        <v>46048</v>
      </c>
      <c r="J425" t="s">
        <v>22</v>
      </c>
      <c r="K425" s="3" t="s">
        <v>23</v>
      </c>
      <c r="L425" s="3" t="s">
        <v>23</v>
      </c>
      <c r="P425" s="3" t="s">
        <v>24</v>
      </c>
      <c r="Q425" t="s">
        <v>1199</v>
      </c>
    </row>
    <row r="426" spans="1:17" x14ac:dyDescent="0.25">
      <c r="A426" s="5">
        <v>5931</v>
      </c>
      <c r="B426" s="3" t="s">
        <v>190</v>
      </c>
      <c r="C426" s="3" t="s">
        <v>40</v>
      </c>
      <c r="D426" s="3" t="s">
        <v>58</v>
      </c>
      <c r="E426" s="3" t="s">
        <v>1200</v>
      </c>
      <c r="F426" s="3" t="s">
        <v>1201</v>
      </c>
      <c r="G426" s="9">
        <v>1800</v>
      </c>
      <c r="H426" s="3" t="s">
        <v>21</v>
      </c>
      <c r="I426" s="4">
        <v>46048</v>
      </c>
      <c r="J426" t="s">
        <v>22</v>
      </c>
      <c r="K426" s="3" t="s">
        <v>23</v>
      </c>
      <c r="L426" s="3" t="s">
        <v>23</v>
      </c>
      <c r="N426" s="19">
        <v>46118</v>
      </c>
      <c r="O426" t="s">
        <v>1202</v>
      </c>
      <c r="P426" s="3" t="s">
        <v>1078</v>
      </c>
      <c r="Q426" t="s">
        <v>1203</v>
      </c>
    </row>
    <row r="427" spans="1:17" x14ac:dyDescent="0.25">
      <c r="A427" s="5">
        <v>5932</v>
      </c>
      <c r="B427" s="3" t="s">
        <v>190</v>
      </c>
      <c r="C427" s="3" t="s">
        <v>29</v>
      </c>
      <c r="D427" s="3" t="s">
        <v>58</v>
      </c>
      <c r="E427" s="3" t="s">
        <v>1204</v>
      </c>
      <c r="F427" s="3" t="s">
        <v>596</v>
      </c>
      <c r="G427" s="9">
        <v>350</v>
      </c>
      <c r="H427" s="3" t="s">
        <v>21</v>
      </c>
      <c r="I427" s="4">
        <v>46048</v>
      </c>
      <c r="J427" t="s">
        <v>22</v>
      </c>
      <c r="K427" s="3" t="s">
        <v>23</v>
      </c>
      <c r="L427" s="3" t="s">
        <v>23</v>
      </c>
      <c r="P427" s="3" t="s">
        <v>24</v>
      </c>
      <c r="Q427" t="s">
        <v>1205</v>
      </c>
    </row>
    <row r="428" spans="1:17" x14ac:dyDescent="0.25">
      <c r="A428" s="5">
        <v>5933</v>
      </c>
      <c r="B428" s="3" t="s">
        <v>17</v>
      </c>
      <c r="C428" s="3" t="s">
        <v>31</v>
      </c>
      <c r="D428" s="3" t="s">
        <v>19</v>
      </c>
      <c r="E428" s="3" t="s">
        <v>1206</v>
      </c>
      <c r="F428" s="3" t="s">
        <v>869</v>
      </c>
      <c r="G428" s="9">
        <v>3200</v>
      </c>
      <c r="H428" s="3" t="s">
        <v>21</v>
      </c>
      <c r="I428" s="4">
        <v>46048</v>
      </c>
      <c r="J428" t="s">
        <v>22</v>
      </c>
      <c r="K428" s="3" t="s">
        <v>23</v>
      </c>
      <c r="L428" s="3" t="s">
        <v>23</v>
      </c>
      <c r="N428" s="19">
        <v>46096</v>
      </c>
      <c r="O428" t="s">
        <v>1207</v>
      </c>
      <c r="P428" s="3" t="s">
        <v>1078</v>
      </c>
      <c r="Q428" t="s">
        <v>1208</v>
      </c>
    </row>
    <row r="429" spans="1:17" x14ac:dyDescent="0.25">
      <c r="A429" s="5">
        <v>5934</v>
      </c>
      <c r="B429" s="3" t="s">
        <v>630</v>
      </c>
      <c r="C429" s="3" t="s">
        <v>197</v>
      </c>
      <c r="D429" s="3" t="s">
        <v>654</v>
      </c>
      <c r="E429" s="3" t="s">
        <v>1209</v>
      </c>
      <c r="F429" s="3" t="s">
        <v>1210</v>
      </c>
      <c r="G429" s="9">
        <v>2268</v>
      </c>
      <c r="H429" s="3" t="s">
        <v>21</v>
      </c>
      <c r="I429" s="4">
        <v>46048</v>
      </c>
      <c r="J429" t="s">
        <v>469</v>
      </c>
      <c r="K429" s="3" t="s">
        <v>23</v>
      </c>
      <c r="L429" s="3" t="s">
        <v>23</v>
      </c>
      <c r="P429" s="3" t="s">
        <v>1078</v>
      </c>
      <c r="Q429" t="s">
        <v>1211</v>
      </c>
    </row>
    <row r="430" spans="1:17" x14ac:dyDescent="0.25">
      <c r="A430" s="5">
        <v>5935</v>
      </c>
      <c r="B430" s="3" t="s">
        <v>17</v>
      </c>
      <c r="C430" s="3" t="s">
        <v>40</v>
      </c>
      <c r="D430" s="3" t="s">
        <v>35</v>
      </c>
      <c r="E430" s="3" t="s">
        <v>1212</v>
      </c>
      <c r="F430" s="3" t="s">
        <v>1213</v>
      </c>
      <c r="G430" s="9">
        <v>11600</v>
      </c>
      <c r="H430" s="3" t="s">
        <v>21</v>
      </c>
      <c r="I430" s="4">
        <v>46056</v>
      </c>
      <c r="J430" t="s">
        <v>22</v>
      </c>
      <c r="K430" s="3" t="s">
        <v>23</v>
      </c>
      <c r="L430" s="3" t="s">
        <v>23</v>
      </c>
      <c r="N430" s="19">
        <v>46105</v>
      </c>
      <c r="O430" t="s">
        <v>1214</v>
      </c>
      <c r="P430" s="3" t="s">
        <v>1078</v>
      </c>
      <c r="Q430" t="s">
        <v>1215</v>
      </c>
    </row>
    <row r="431" spans="1:17" x14ac:dyDescent="0.25">
      <c r="A431" s="5">
        <v>5936</v>
      </c>
      <c r="B431" s="3" t="s">
        <v>1178</v>
      </c>
      <c r="C431" s="3" t="s">
        <v>29</v>
      </c>
      <c r="D431" s="3" t="s">
        <v>108</v>
      </c>
      <c r="E431" s="3" t="s">
        <v>1216</v>
      </c>
      <c r="F431" s="3" t="s">
        <v>1217</v>
      </c>
      <c r="G431" s="9">
        <v>12800</v>
      </c>
      <c r="H431" s="3" t="s">
        <v>21</v>
      </c>
      <c r="I431" s="4">
        <v>46058</v>
      </c>
      <c r="J431" t="s">
        <v>469</v>
      </c>
      <c r="K431" s="3" t="s">
        <v>23</v>
      </c>
      <c r="L431" s="3" t="s">
        <v>23</v>
      </c>
      <c r="P431" s="3" t="s">
        <v>24</v>
      </c>
      <c r="Q431" t="s">
        <v>1218</v>
      </c>
    </row>
    <row r="432" spans="1:17" x14ac:dyDescent="0.25">
      <c r="A432" s="5">
        <v>5957</v>
      </c>
      <c r="B432" s="3" t="s">
        <v>107</v>
      </c>
      <c r="C432" s="3" t="s">
        <v>29</v>
      </c>
      <c r="D432" s="3" t="s">
        <v>108</v>
      </c>
      <c r="E432" s="3" t="s">
        <v>1219</v>
      </c>
      <c r="F432" s="3" t="s">
        <v>1220</v>
      </c>
      <c r="G432" s="9">
        <v>22724.99</v>
      </c>
      <c r="H432" s="3" t="s">
        <v>21</v>
      </c>
      <c r="I432" s="4">
        <v>46061</v>
      </c>
      <c r="J432" t="s">
        <v>469</v>
      </c>
      <c r="K432" s="3" t="s">
        <v>23</v>
      </c>
      <c r="L432" s="3" t="s">
        <v>23</v>
      </c>
      <c r="P432" s="3" t="s">
        <v>24</v>
      </c>
      <c r="Q432" t="s">
        <v>1221</v>
      </c>
    </row>
    <row r="433" spans="1:17" x14ac:dyDescent="0.25">
      <c r="A433" s="5">
        <v>5958</v>
      </c>
      <c r="B433" s="3" t="s">
        <v>190</v>
      </c>
      <c r="C433" s="3" t="s">
        <v>197</v>
      </c>
      <c r="D433" s="3" t="s">
        <v>58</v>
      </c>
      <c r="E433" s="3" t="s">
        <v>1222</v>
      </c>
      <c r="F433" s="3" t="s">
        <v>1223</v>
      </c>
      <c r="G433" s="9">
        <v>300</v>
      </c>
      <c r="H433" s="3" t="s">
        <v>21</v>
      </c>
      <c r="I433" s="4">
        <v>46061</v>
      </c>
      <c r="J433" t="s">
        <v>22</v>
      </c>
      <c r="K433" s="3" t="s">
        <v>23</v>
      </c>
      <c r="L433" s="3" t="s">
        <v>23</v>
      </c>
      <c r="N433" s="19">
        <v>46118</v>
      </c>
      <c r="O433" t="s">
        <v>1224</v>
      </c>
      <c r="P433" s="3" t="s">
        <v>1078</v>
      </c>
      <c r="Q433" t="s">
        <v>1225</v>
      </c>
    </row>
    <row r="434" spans="1:17" x14ac:dyDescent="0.25">
      <c r="A434" s="5">
        <v>5959</v>
      </c>
      <c r="B434" s="3" t="s">
        <v>190</v>
      </c>
      <c r="C434" s="3" t="s">
        <v>40</v>
      </c>
      <c r="D434" s="3" t="s">
        <v>58</v>
      </c>
      <c r="E434" s="3" t="s">
        <v>1226</v>
      </c>
      <c r="F434" s="3" t="s">
        <v>1227</v>
      </c>
      <c r="G434" s="9">
        <v>350</v>
      </c>
      <c r="H434" s="3" t="s">
        <v>21</v>
      </c>
      <c r="I434" s="4">
        <v>46061</v>
      </c>
      <c r="J434" t="s">
        <v>22</v>
      </c>
      <c r="K434" s="3" t="s">
        <v>23</v>
      </c>
      <c r="L434" s="3" t="s">
        <v>23</v>
      </c>
      <c r="N434" s="19">
        <v>46118</v>
      </c>
      <c r="O434" t="s">
        <v>1228</v>
      </c>
      <c r="P434" s="3" t="s">
        <v>1078</v>
      </c>
      <c r="Q434" t="s">
        <v>1229</v>
      </c>
    </row>
    <row r="435" spans="1:17" x14ac:dyDescent="0.25">
      <c r="A435" s="5">
        <v>5960</v>
      </c>
      <c r="B435" s="3" t="s">
        <v>190</v>
      </c>
      <c r="C435" s="3" t="s">
        <v>29</v>
      </c>
      <c r="D435" s="3" t="s">
        <v>58</v>
      </c>
      <c r="E435" s="3" t="s">
        <v>1230</v>
      </c>
      <c r="F435" s="3" t="s">
        <v>1231</v>
      </c>
      <c r="G435" s="9">
        <v>1250</v>
      </c>
      <c r="H435" s="3" t="s">
        <v>21</v>
      </c>
      <c r="I435" s="4">
        <v>46061</v>
      </c>
      <c r="J435" t="s">
        <v>22</v>
      </c>
      <c r="K435" s="3" t="s">
        <v>23</v>
      </c>
      <c r="L435" s="3" t="s">
        <v>23</v>
      </c>
      <c r="N435" s="19">
        <v>46118</v>
      </c>
      <c r="O435" t="s">
        <v>1232</v>
      </c>
      <c r="P435" s="3" t="s">
        <v>1078</v>
      </c>
      <c r="Q435" t="s">
        <v>1233</v>
      </c>
    </row>
    <row r="436" spans="1:17" x14ac:dyDescent="0.25">
      <c r="A436" s="5">
        <v>5961</v>
      </c>
      <c r="B436" s="3" t="s">
        <v>523</v>
      </c>
      <c r="C436" s="3" t="s">
        <v>40</v>
      </c>
      <c r="D436" s="3" t="s">
        <v>58</v>
      </c>
      <c r="E436" s="3" t="s">
        <v>1234</v>
      </c>
      <c r="F436" s="3" t="s">
        <v>1235</v>
      </c>
      <c r="G436" s="9">
        <f>1400+2800+1400</f>
        <v>5600</v>
      </c>
      <c r="H436" s="3" t="s">
        <v>21</v>
      </c>
      <c r="I436" s="4">
        <v>46062</v>
      </c>
      <c r="J436" t="s">
        <v>22</v>
      </c>
      <c r="K436" s="3" t="s">
        <v>23</v>
      </c>
      <c r="L436" s="3" t="s">
        <v>23</v>
      </c>
      <c r="P436" s="3" t="s">
        <v>24</v>
      </c>
    </row>
    <row r="437" spans="1:17" x14ac:dyDescent="0.25">
      <c r="A437" s="5">
        <v>5962</v>
      </c>
      <c r="B437" s="3" t="s">
        <v>17</v>
      </c>
      <c r="C437" s="3" t="s">
        <v>197</v>
      </c>
      <c r="D437" s="3" t="s">
        <v>35</v>
      </c>
      <c r="E437" s="3" t="s">
        <v>1236</v>
      </c>
      <c r="F437" s="3" t="s">
        <v>1237</v>
      </c>
      <c r="G437" s="9">
        <v>1160</v>
      </c>
      <c r="H437" s="3" t="s">
        <v>21</v>
      </c>
      <c r="I437" s="4">
        <v>46068</v>
      </c>
      <c r="J437" t="s">
        <v>22</v>
      </c>
      <c r="K437" s="3" t="s">
        <v>23</v>
      </c>
      <c r="L437" s="3" t="s">
        <v>23</v>
      </c>
      <c r="N437" s="19">
        <v>46069</v>
      </c>
      <c r="O437" t="s">
        <v>1238</v>
      </c>
      <c r="P437" s="3" t="s">
        <v>1078</v>
      </c>
      <c r="Q437" t="s">
        <v>1239</v>
      </c>
    </row>
    <row r="438" spans="1:17" x14ac:dyDescent="0.25">
      <c r="A438" s="5">
        <v>5963</v>
      </c>
      <c r="B438" s="3" t="s">
        <v>17</v>
      </c>
      <c r="C438" s="3" t="s">
        <v>184</v>
      </c>
      <c r="D438" s="3" t="s">
        <v>19</v>
      </c>
      <c r="E438" s="3" t="s">
        <v>1240</v>
      </c>
      <c r="F438" s="3" t="s">
        <v>1164</v>
      </c>
      <c r="G438" s="9">
        <v>2180</v>
      </c>
      <c r="H438" s="3" t="s">
        <v>21</v>
      </c>
      <c r="I438" s="4">
        <v>46070</v>
      </c>
      <c r="J438" t="s">
        <v>22</v>
      </c>
      <c r="K438" s="3" t="s">
        <v>23</v>
      </c>
      <c r="L438" s="3" t="s">
        <v>23</v>
      </c>
      <c r="N438" s="19">
        <v>46070</v>
      </c>
      <c r="O438" t="s">
        <v>1241</v>
      </c>
      <c r="P438" s="3" t="s">
        <v>1078</v>
      </c>
      <c r="Q438" t="s">
        <v>1242</v>
      </c>
    </row>
    <row r="439" spans="1:17" x14ac:dyDescent="0.25">
      <c r="A439" s="5">
        <v>5964</v>
      </c>
      <c r="B439" s="3" t="s">
        <v>1243</v>
      </c>
      <c r="C439" s="3" t="s">
        <v>40</v>
      </c>
      <c r="D439" s="3" t="s">
        <v>81</v>
      </c>
      <c r="E439" s="3" t="s">
        <v>1244</v>
      </c>
      <c r="F439" s="3" t="s">
        <v>1245</v>
      </c>
      <c r="G439" s="9">
        <v>2500</v>
      </c>
      <c r="H439" s="3" t="s">
        <v>21</v>
      </c>
      <c r="I439" s="4">
        <v>46106</v>
      </c>
      <c r="J439" t="s">
        <v>469</v>
      </c>
      <c r="K439" s="3" t="s">
        <v>764</v>
      </c>
      <c r="L439" s="3" t="s">
        <v>23</v>
      </c>
      <c r="P439" s="3" t="s">
        <v>1078</v>
      </c>
      <c r="Q439" t="s">
        <v>1246</v>
      </c>
    </row>
    <row r="440" spans="1:17" x14ac:dyDescent="0.25">
      <c r="A440" s="5">
        <v>5965</v>
      </c>
      <c r="B440" s="3" t="s">
        <v>723</v>
      </c>
      <c r="C440" s="3" t="s">
        <v>31</v>
      </c>
      <c r="D440" s="3" t="s">
        <v>64</v>
      </c>
      <c r="E440" s="3" t="s">
        <v>1247</v>
      </c>
      <c r="F440" s="3" t="s">
        <v>1248</v>
      </c>
      <c r="G440" s="9">
        <v>2000</v>
      </c>
      <c r="H440" s="3" t="s">
        <v>21</v>
      </c>
      <c r="I440" s="4">
        <v>46106</v>
      </c>
      <c r="J440" t="s">
        <v>22</v>
      </c>
      <c r="K440" s="3" t="s">
        <v>23</v>
      </c>
      <c r="L440" s="3" t="s">
        <v>23</v>
      </c>
      <c r="N440" s="19">
        <v>46106</v>
      </c>
      <c r="O440" s="20" t="s">
        <v>1249</v>
      </c>
      <c r="P440" s="3" t="s">
        <v>1078</v>
      </c>
      <c r="Q440" t="s">
        <v>1250</v>
      </c>
    </row>
    <row r="441" spans="1:17" x14ac:dyDescent="0.25">
      <c r="A441" s="5">
        <v>5966</v>
      </c>
      <c r="B441" s="3" t="s">
        <v>723</v>
      </c>
      <c r="C441" s="3" t="s">
        <v>29</v>
      </c>
      <c r="D441" s="3" t="s">
        <v>64</v>
      </c>
      <c r="E441" s="3" t="s">
        <v>1251</v>
      </c>
      <c r="F441" s="3" t="s">
        <v>1252</v>
      </c>
      <c r="G441" s="9">
        <v>27150</v>
      </c>
      <c r="H441" s="3" t="s">
        <v>21</v>
      </c>
      <c r="I441" s="4">
        <v>46106</v>
      </c>
      <c r="J441" t="s">
        <v>22</v>
      </c>
      <c r="K441" s="3" t="s">
        <v>23</v>
      </c>
      <c r="L441" s="3" t="s">
        <v>23</v>
      </c>
      <c r="N441" s="19">
        <v>46106</v>
      </c>
      <c r="O441" t="s">
        <v>1253</v>
      </c>
      <c r="P441" s="3" t="s">
        <v>1078</v>
      </c>
      <c r="Q441" t="s">
        <v>1254</v>
      </c>
    </row>
    <row r="442" spans="1:17" x14ac:dyDescent="0.25">
      <c r="A442" s="5">
        <v>5995</v>
      </c>
      <c r="B442" s="3" t="s">
        <v>723</v>
      </c>
      <c r="C442" s="3" t="s">
        <v>40</v>
      </c>
      <c r="D442" s="3" t="s">
        <v>108</v>
      </c>
      <c r="E442" s="3" t="s">
        <v>1255</v>
      </c>
      <c r="F442" s="3" t="s">
        <v>1256</v>
      </c>
      <c r="G442" s="9">
        <v>14700</v>
      </c>
      <c r="H442" s="3" t="s">
        <v>21</v>
      </c>
      <c r="I442" s="4">
        <v>46106</v>
      </c>
      <c r="J442" t="s">
        <v>22</v>
      </c>
      <c r="K442" s="3" t="s">
        <v>23</v>
      </c>
      <c r="L442" s="3" t="s">
        <v>23</v>
      </c>
      <c r="N442" s="19">
        <v>46106</v>
      </c>
      <c r="O442" t="s">
        <v>1257</v>
      </c>
      <c r="P442" s="3" t="s">
        <v>1078</v>
      </c>
      <c r="Q442" t="s">
        <v>1258</v>
      </c>
    </row>
    <row r="443" spans="1:17" x14ac:dyDescent="0.25">
      <c r="A443" s="5">
        <v>5996</v>
      </c>
      <c r="B443" s="3" t="s">
        <v>723</v>
      </c>
      <c r="C443" s="3" t="s">
        <v>197</v>
      </c>
      <c r="D443" s="3" t="s">
        <v>108</v>
      </c>
      <c r="E443" s="3" t="s">
        <v>1259</v>
      </c>
      <c r="F443" s="3" t="s">
        <v>1260</v>
      </c>
      <c r="G443" s="9">
        <v>3000</v>
      </c>
      <c r="H443" s="3" t="s">
        <v>21</v>
      </c>
      <c r="I443" s="4">
        <v>46106</v>
      </c>
      <c r="J443" t="s">
        <v>22</v>
      </c>
      <c r="K443" s="3" t="s">
        <v>23</v>
      </c>
      <c r="L443" s="3" t="s">
        <v>23</v>
      </c>
      <c r="N443" s="19">
        <v>46106</v>
      </c>
      <c r="O443" t="s">
        <v>1261</v>
      </c>
      <c r="P443" s="3" t="s">
        <v>1078</v>
      </c>
      <c r="Q443" t="s">
        <v>1262</v>
      </c>
    </row>
    <row r="444" spans="1:17" x14ac:dyDescent="0.25">
      <c r="A444" s="5">
        <v>5997</v>
      </c>
      <c r="B444" s="3" t="s">
        <v>723</v>
      </c>
      <c r="C444" s="3" t="s">
        <v>18</v>
      </c>
      <c r="D444" s="3" t="s">
        <v>108</v>
      </c>
      <c r="E444" s="3" t="s">
        <v>1263</v>
      </c>
      <c r="F444" s="3" t="s">
        <v>1264</v>
      </c>
      <c r="G444" s="9">
        <v>12900</v>
      </c>
      <c r="H444" s="3" t="s">
        <v>21</v>
      </c>
      <c r="I444" s="4">
        <v>46106</v>
      </c>
      <c r="J444" t="s">
        <v>22</v>
      </c>
      <c r="K444" s="3" t="s">
        <v>23</v>
      </c>
      <c r="L444" s="3" t="s">
        <v>23</v>
      </c>
      <c r="N444" s="19">
        <v>46106</v>
      </c>
      <c r="O444" s="20" t="s">
        <v>1265</v>
      </c>
      <c r="P444" s="3" t="s">
        <v>1078</v>
      </c>
      <c r="Q444" t="s">
        <v>1266</v>
      </c>
    </row>
    <row r="445" spans="1:17" x14ac:dyDescent="0.25">
      <c r="A445" s="5">
        <v>5998</v>
      </c>
      <c r="B445" s="3" t="s">
        <v>17</v>
      </c>
      <c r="C445" s="3" t="s">
        <v>40</v>
      </c>
      <c r="D445" s="3" t="s">
        <v>35</v>
      </c>
      <c r="E445" s="3" t="s">
        <v>1267</v>
      </c>
      <c r="F445" s="3" t="s">
        <v>1268</v>
      </c>
      <c r="G445" s="9">
        <v>3000</v>
      </c>
      <c r="H445" s="3" t="s">
        <v>21</v>
      </c>
      <c r="I445" s="4">
        <v>46110</v>
      </c>
      <c r="J445" t="s">
        <v>469</v>
      </c>
      <c r="K445" s="3" t="s">
        <v>23</v>
      </c>
      <c r="L445" s="3" t="s">
        <v>23</v>
      </c>
      <c r="N445" s="19">
        <v>46125</v>
      </c>
      <c r="O445" t="s">
        <v>1269</v>
      </c>
      <c r="P445" s="3" t="s">
        <v>1078</v>
      </c>
      <c r="Q445" t="s">
        <v>1270</v>
      </c>
    </row>
    <row r="446" spans="1:17" x14ac:dyDescent="0.25">
      <c r="A446" s="5">
        <v>5999</v>
      </c>
      <c r="B446" s="3" t="s">
        <v>17</v>
      </c>
      <c r="C446" s="3" t="s">
        <v>18</v>
      </c>
      <c r="D446" s="3" t="s">
        <v>19</v>
      </c>
      <c r="E446" s="3" t="s">
        <v>1271</v>
      </c>
      <c r="F446" s="3" t="s">
        <v>1272</v>
      </c>
      <c r="G446" s="9">
        <v>400</v>
      </c>
      <c r="H446" s="3" t="s">
        <v>21</v>
      </c>
      <c r="I446" s="4">
        <v>46110</v>
      </c>
      <c r="J446" t="s">
        <v>469</v>
      </c>
      <c r="K446" s="3" t="s">
        <v>23</v>
      </c>
      <c r="L446" s="3" t="s">
        <v>23</v>
      </c>
      <c r="P446" s="3" t="s">
        <v>1078</v>
      </c>
      <c r="Q446" t="s">
        <v>1273</v>
      </c>
    </row>
    <row r="447" spans="1:17" x14ac:dyDescent="0.25">
      <c r="A447" s="5">
        <v>6000</v>
      </c>
      <c r="B447" s="3" t="s">
        <v>560</v>
      </c>
      <c r="C447" s="3" t="s">
        <v>40</v>
      </c>
      <c r="D447" s="3" t="s">
        <v>156</v>
      </c>
      <c r="E447" s="3" t="s">
        <v>1274</v>
      </c>
      <c r="F447" s="3" t="s">
        <v>1275</v>
      </c>
      <c r="G447" s="9">
        <v>2635</v>
      </c>
      <c r="H447" s="3" t="s">
        <v>21</v>
      </c>
      <c r="I447" s="4">
        <v>46110</v>
      </c>
      <c r="J447" t="s">
        <v>469</v>
      </c>
      <c r="K447" s="3" t="s">
        <v>23</v>
      </c>
      <c r="L447" s="3" t="s">
        <v>23</v>
      </c>
      <c r="P447" s="3" t="s">
        <v>24</v>
      </c>
      <c r="Q447" t="s">
        <v>1276</v>
      </c>
    </row>
    <row r="448" spans="1:17" x14ac:dyDescent="0.25">
      <c r="A448" s="5">
        <v>6001</v>
      </c>
      <c r="B448" s="3" t="s">
        <v>1277</v>
      </c>
      <c r="C448" s="3" t="s">
        <v>1278</v>
      </c>
      <c r="D448" s="3" t="s">
        <v>108</v>
      </c>
      <c r="E448" s="3" t="s">
        <v>1279</v>
      </c>
      <c r="F448" s="3" t="s">
        <v>1280</v>
      </c>
      <c r="G448" s="9">
        <v>10809</v>
      </c>
      <c r="H448" s="3" t="s">
        <v>21</v>
      </c>
      <c r="I448" s="4">
        <v>46112</v>
      </c>
      <c r="J448" t="s">
        <v>469</v>
      </c>
      <c r="K448" s="3" t="s">
        <v>764</v>
      </c>
      <c r="L448" s="3" t="s">
        <v>23</v>
      </c>
      <c r="P448" s="3" t="s">
        <v>24</v>
      </c>
      <c r="Q448" t="s">
        <v>1281</v>
      </c>
    </row>
    <row r="449" spans="1:17" x14ac:dyDescent="0.25">
      <c r="A449" s="5">
        <v>6002</v>
      </c>
      <c r="B449" s="3" t="s">
        <v>190</v>
      </c>
      <c r="C449" s="3" t="s">
        <v>40</v>
      </c>
      <c r="D449" s="3" t="s">
        <v>58</v>
      </c>
      <c r="E449" s="3" t="s">
        <v>1282</v>
      </c>
      <c r="F449" s="3" t="s">
        <v>1283</v>
      </c>
      <c r="G449" s="9">
        <v>2050</v>
      </c>
      <c r="H449" s="3" t="s">
        <v>21</v>
      </c>
      <c r="I449" s="4">
        <v>46119</v>
      </c>
      <c r="J449" t="s">
        <v>22</v>
      </c>
      <c r="K449" s="3" t="s">
        <v>23</v>
      </c>
      <c r="L449" s="3" t="s">
        <v>23</v>
      </c>
      <c r="N449" s="19">
        <v>46120</v>
      </c>
      <c r="O449" t="s">
        <v>1284</v>
      </c>
      <c r="P449" s="3" t="s">
        <v>1078</v>
      </c>
      <c r="Q449" t="s">
        <v>1285</v>
      </c>
    </row>
    <row r="450" spans="1:17" x14ac:dyDescent="0.25">
      <c r="A450" s="5">
        <v>6003</v>
      </c>
      <c r="B450" s="3" t="s">
        <v>190</v>
      </c>
      <c r="C450" s="3" t="s">
        <v>29</v>
      </c>
      <c r="D450" s="3" t="s">
        <v>58</v>
      </c>
      <c r="E450" s="3" t="s">
        <v>1286</v>
      </c>
      <c r="F450" s="3" t="s">
        <v>1287</v>
      </c>
      <c r="G450" s="9">
        <v>1200</v>
      </c>
      <c r="H450" s="3" t="s">
        <v>21</v>
      </c>
      <c r="I450" s="4">
        <v>46119</v>
      </c>
      <c r="J450" t="s">
        <v>22</v>
      </c>
      <c r="K450" s="3" t="s">
        <v>23</v>
      </c>
      <c r="L450" s="3" t="s">
        <v>23</v>
      </c>
      <c r="N450" s="19">
        <v>46130</v>
      </c>
      <c r="O450" t="s">
        <v>1288</v>
      </c>
      <c r="P450" s="3" t="s">
        <v>1078</v>
      </c>
      <c r="Q450" t="s">
        <v>1289</v>
      </c>
    </row>
    <row r="451" spans="1:17" x14ac:dyDescent="0.25">
      <c r="A451" s="5">
        <v>6004</v>
      </c>
      <c r="B451" s="3" t="s">
        <v>190</v>
      </c>
      <c r="C451" s="3" t="s">
        <v>40</v>
      </c>
      <c r="D451" s="3" t="s">
        <v>58</v>
      </c>
      <c r="E451" s="3" t="s">
        <v>1290</v>
      </c>
      <c r="F451" s="3" t="s">
        <v>385</v>
      </c>
      <c r="G451" s="9">
        <v>350</v>
      </c>
      <c r="H451" s="3" t="s">
        <v>21</v>
      </c>
      <c r="I451" s="4">
        <v>46119</v>
      </c>
      <c r="J451" t="s">
        <v>22</v>
      </c>
      <c r="K451" s="3" t="s">
        <v>23</v>
      </c>
      <c r="L451" s="3" t="s">
        <v>23</v>
      </c>
      <c r="N451" s="19">
        <v>46120</v>
      </c>
      <c r="O451" t="s">
        <v>1291</v>
      </c>
      <c r="P451" s="3" t="s">
        <v>1078</v>
      </c>
      <c r="Q451" t="s">
        <v>1292</v>
      </c>
    </row>
    <row r="452" spans="1:17" x14ac:dyDescent="0.25">
      <c r="A452" s="5">
        <v>6026</v>
      </c>
      <c r="B452" s="3" t="s">
        <v>190</v>
      </c>
      <c r="C452" s="3" t="s">
        <v>184</v>
      </c>
      <c r="D452" s="3" t="s">
        <v>58</v>
      </c>
      <c r="E452" s="3" t="s">
        <v>1293</v>
      </c>
      <c r="F452" s="3" t="s">
        <v>1294</v>
      </c>
      <c r="G452" s="9">
        <v>180</v>
      </c>
      <c r="H452" s="3" t="s">
        <v>21</v>
      </c>
      <c r="I452" s="4">
        <v>46119</v>
      </c>
      <c r="J452" t="s">
        <v>22</v>
      </c>
      <c r="K452" s="3" t="s">
        <v>23</v>
      </c>
      <c r="L452" s="3" t="s">
        <v>23</v>
      </c>
      <c r="N452" s="19">
        <v>46120</v>
      </c>
      <c r="O452" t="s">
        <v>1295</v>
      </c>
      <c r="P452" s="3" t="s">
        <v>1078</v>
      </c>
      <c r="Q452" t="s">
        <v>1296</v>
      </c>
    </row>
    <row r="453" spans="1:17" x14ac:dyDescent="0.25">
      <c r="A453" s="5">
        <v>6027</v>
      </c>
      <c r="B453" s="3" t="s">
        <v>190</v>
      </c>
      <c r="C453" s="3" t="s">
        <v>29</v>
      </c>
      <c r="D453" s="3" t="s">
        <v>58</v>
      </c>
      <c r="E453" s="3" t="s">
        <v>1297</v>
      </c>
      <c r="F453" s="3" t="s">
        <v>1298</v>
      </c>
      <c r="G453" s="9">
        <v>3250</v>
      </c>
      <c r="H453" s="3" t="s">
        <v>21</v>
      </c>
      <c r="I453" s="4">
        <v>46119</v>
      </c>
      <c r="J453" t="s">
        <v>22</v>
      </c>
      <c r="K453" s="3" t="s">
        <v>23</v>
      </c>
      <c r="L453" s="3" t="s">
        <v>23</v>
      </c>
      <c r="N453" s="19">
        <v>46120</v>
      </c>
      <c r="O453" t="s">
        <v>1299</v>
      </c>
      <c r="P453" s="3" t="s">
        <v>1078</v>
      </c>
      <c r="Q453" t="s">
        <v>1300</v>
      </c>
    </row>
    <row r="454" spans="1:17" x14ac:dyDescent="0.25">
      <c r="A454" s="5">
        <v>6028</v>
      </c>
      <c r="B454" s="3" t="s">
        <v>190</v>
      </c>
      <c r="C454" s="3" t="s">
        <v>40</v>
      </c>
      <c r="D454" s="3" t="s">
        <v>58</v>
      </c>
      <c r="E454" s="3" t="s">
        <v>1301</v>
      </c>
      <c r="F454" s="3" t="s">
        <v>1302</v>
      </c>
      <c r="G454" s="9">
        <v>450</v>
      </c>
      <c r="H454" s="3" t="s">
        <v>21</v>
      </c>
      <c r="I454" s="4">
        <v>46119</v>
      </c>
      <c r="J454" t="s">
        <v>22</v>
      </c>
      <c r="K454" s="3" t="s">
        <v>23</v>
      </c>
      <c r="L454" s="3" t="s">
        <v>23</v>
      </c>
      <c r="N454" s="19">
        <v>46130</v>
      </c>
      <c r="O454" t="s">
        <v>1303</v>
      </c>
      <c r="P454" s="3" t="s">
        <v>1078</v>
      </c>
      <c r="Q454" t="s">
        <v>1304</v>
      </c>
    </row>
    <row r="455" spans="1:17" x14ac:dyDescent="0.25">
      <c r="A455" s="5">
        <v>6029</v>
      </c>
      <c r="B455" s="3" t="s">
        <v>190</v>
      </c>
      <c r="C455" s="3" t="s">
        <v>40</v>
      </c>
      <c r="D455" s="3" t="s">
        <v>58</v>
      </c>
      <c r="E455" s="3" t="s">
        <v>1305</v>
      </c>
      <c r="F455" s="3" t="s">
        <v>1306</v>
      </c>
      <c r="G455" s="9">
        <v>950</v>
      </c>
      <c r="H455" s="3" t="s">
        <v>21</v>
      </c>
      <c r="I455" s="4">
        <v>46119</v>
      </c>
      <c r="J455" t="s">
        <v>22</v>
      </c>
      <c r="K455" s="3" t="s">
        <v>23</v>
      </c>
      <c r="L455" s="3" t="s">
        <v>23</v>
      </c>
      <c r="N455" s="19">
        <v>46130</v>
      </c>
      <c r="O455" t="s">
        <v>1307</v>
      </c>
      <c r="P455" s="3" t="s">
        <v>1078</v>
      </c>
      <c r="Q455" t="s">
        <v>1308</v>
      </c>
    </row>
    <row r="456" spans="1:17" x14ac:dyDescent="0.25">
      <c r="A456" s="5">
        <v>6030</v>
      </c>
      <c r="B456" s="3" t="s">
        <v>190</v>
      </c>
      <c r="C456" s="3" t="s">
        <v>184</v>
      </c>
      <c r="D456" s="3" t="s">
        <v>58</v>
      </c>
      <c r="E456" s="3" t="s">
        <v>1309</v>
      </c>
      <c r="F456" s="3" t="s">
        <v>1310</v>
      </c>
      <c r="G456" s="9">
        <v>2500</v>
      </c>
      <c r="H456" s="3" t="s">
        <v>21</v>
      </c>
      <c r="I456" s="4">
        <v>46119</v>
      </c>
      <c r="J456" t="s">
        <v>22</v>
      </c>
      <c r="K456" s="3" t="s">
        <v>23</v>
      </c>
      <c r="L456" s="3" t="s">
        <v>23</v>
      </c>
      <c r="N456" s="19">
        <v>46130</v>
      </c>
      <c r="O456" t="s">
        <v>1311</v>
      </c>
      <c r="P456" s="3" t="s">
        <v>1078</v>
      </c>
      <c r="Q456" t="s">
        <v>1312</v>
      </c>
    </row>
    <row r="457" spans="1:17" x14ac:dyDescent="0.25">
      <c r="A457" s="5">
        <v>6031</v>
      </c>
      <c r="B457" s="3" t="s">
        <v>190</v>
      </c>
      <c r="C457" s="3" t="s">
        <v>29</v>
      </c>
      <c r="D457" s="3" t="s">
        <v>58</v>
      </c>
      <c r="E457" s="3" t="s">
        <v>1313</v>
      </c>
      <c r="F457" s="3" t="s">
        <v>1314</v>
      </c>
      <c r="G457" s="9">
        <v>2300</v>
      </c>
      <c r="H457" s="3" t="s">
        <v>21</v>
      </c>
      <c r="I457" s="4">
        <v>46119</v>
      </c>
      <c r="J457" t="s">
        <v>22</v>
      </c>
      <c r="K457" s="3" t="s">
        <v>23</v>
      </c>
      <c r="L457" s="3" t="s">
        <v>23</v>
      </c>
      <c r="N457" s="19">
        <v>46130</v>
      </c>
      <c r="O457" t="s">
        <v>1315</v>
      </c>
      <c r="P457" s="3" t="s">
        <v>1078</v>
      </c>
      <c r="Q457" t="s">
        <v>1316</v>
      </c>
    </row>
    <row r="458" spans="1:17" x14ac:dyDescent="0.25">
      <c r="A458" s="5">
        <v>6032</v>
      </c>
      <c r="B458" s="3" t="s">
        <v>190</v>
      </c>
      <c r="C458" s="3" t="s">
        <v>18</v>
      </c>
      <c r="D458" s="3" t="s">
        <v>58</v>
      </c>
      <c r="E458" s="3" t="s">
        <v>1317</v>
      </c>
      <c r="F458" s="3" t="s">
        <v>219</v>
      </c>
      <c r="G458" s="9">
        <v>160</v>
      </c>
      <c r="H458" s="3" t="s">
        <v>21</v>
      </c>
      <c r="I458" s="4">
        <v>46119</v>
      </c>
      <c r="J458" t="s">
        <v>22</v>
      </c>
      <c r="K458" s="3" t="s">
        <v>23</v>
      </c>
      <c r="L458" s="3" t="s">
        <v>23</v>
      </c>
      <c r="N458" s="19">
        <v>46120</v>
      </c>
      <c r="O458" t="s">
        <v>1318</v>
      </c>
      <c r="P458" s="3" t="s">
        <v>1078</v>
      </c>
      <c r="Q458" t="s">
        <v>1319</v>
      </c>
    </row>
    <row r="459" spans="1:17" x14ac:dyDescent="0.25">
      <c r="A459" s="5">
        <v>6033</v>
      </c>
      <c r="B459" s="3" t="s">
        <v>190</v>
      </c>
      <c r="C459" s="3" t="s">
        <v>29</v>
      </c>
      <c r="D459" s="3" t="s">
        <v>58</v>
      </c>
      <c r="E459" s="3" t="s">
        <v>1320</v>
      </c>
      <c r="F459" s="3" t="s">
        <v>1321</v>
      </c>
      <c r="G459" s="9">
        <v>1350</v>
      </c>
      <c r="H459" s="3" t="s">
        <v>21</v>
      </c>
      <c r="I459" s="4">
        <v>46119</v>
      </c>
      <c r="J459" t="s">
        <v>22</v>
      </c>
      <c r="K459" s="3" t="s">
        <v>23</v>
      </c>
      <c r="L459" s="3" t="s">
        <v>23</v>
      </c>
      <c r="N459" s="19">
        <v>46120</v>
      </c>
      <c r="O459" t="s">
        <v>1322</v>
      </c>
      <c r="P459" s="3" t="s">
        <v>1078</v>
      </c>
      <c r="Q459" t="s">
        <v>1323</v>
      </c>
    </row>
    <row r="460" spans="1:17" x14ac:dyDescent="0.25">
      <c r="A460" s="5">
        <v>6034</v>
      </c>
      <c r="B460" s="3" t="s">
        <v>190</v>
      </c>
      <c r="C460" s="3" t="s">
        <v>40</v>
      </c>
      <c r="D460" s="3" t="s">
        <v>58</v>
      </c>
      <c r="E460" s="3" t="s">
        <v>1324</v>
      </c>
      <c r="F460" s="3" t="s">
        <v>219</v>
      </c>
      <c r="G460" s="9">
        <v>160</v>
      </c>
      <c r="H460" s="3" t="s">
        <v>21</v>
      </c>
      <c r="I460" s="4">
        <v>46119</v>
      </c>
      <c r="J460" t="s">
        <v>22</v>
      </c>
      <c r="K460" s="3" t="s">
        <v>23</v>
      </c>
      <c r="L460" s="3" t="s">
        <v>23</v>
      </c>
      <c r="P460" s="3" t="s">
        <v>1078</v>
      </c>
      <c r="Q460" t="s">
        <v>1325</v>
      </c>
    </row>
    <row r="461" spans="1:17" x14ac:dyDescent="0.25">
      <c r="A461" s="5">
        <v>6035</v>
      </c>
      <c r="B461" s="3" t="s">
        <v>190</v>
      </c>
      <c r="C461" s="3" t="s">
        <v>184</v>
      </c>
      <c r="D461" s="3" t="s">
        <v>58</v>
      </c>
      <c r="E461" s="3" t="s">
        <v>1326</v>
      </c>
      <c r="F461" s="3" t="s">
        <v>1327</v>
      </c>
      <c r="G461" s="9">
        <v>890</v>
      </c>
      <c r="H461" s="3" t="s">
        <v>21</v>
      </c>
      <c r="I461" s="4">
        <v>46119</v>
      </c>
      <c r="J461" t="s">
        <v>22</v>
      </c>
      <c r="K461" s="3" t="s">
        <v>23</v>
      </c>
      <c r="L461" s="3" t="s">
        <v>23</v>
      </c>
      <c r="N461" s="19">
        <v>46120</v>
      </c>
      <c r="O461" t="s">
        <v>1328</v>
      </c>
      <c r="P461" s="3" t="s">
        <v>1078</v>
      </c>
      <c r="Q461" t="s">
        <v>1329</v>
      </c>
    </row>
    <row r="462" spans="1:17" x14ac:dyDescent="0.25">
      <c r="A462" s="5">
        <v>6036</v>
      </c>
      <c r="B462" s="3" t="s">
        <v>190</v>
      </c>
      <c r="C462" s="3" t="s">
        <v>184</v>
      </c>
      <c r="D462" s="3" t="s">
        <v>58</v>
      </c>
      <c r="E462" s="3" t="s">
        <v>1330</v>
      </c>
      <c r="F462" s="3" t="s">
        <v>1331</v>
      </c>
      <c r="G462" s="9">
        <v>980</v>
      </c>
      <c r="H462" s="3" t="s">
        <v>21</v>
      </c>
      <c r="I462" s="4">
        <v>46119</v>
      </c>
      <c r="J462" t="s">
        <v>22</v>
      </c>
      <c r="K462" s="3" t="s">
        <v>23</v>
      </c>
      <c r="L462" s="3" t="s">
        <v>23</v>
      </c>
      <c r="N462" s="19">
        <v>46120</v>
      </c>
      <c r="O462" t="s">
        <v>1332</v>
      </c>
      <c r="P462" s="3" t="s">
        <v>1078</v>
      </c>
      <c r="Q462" t="s">
        <v>1333</v>
      </c>
    </row>
    <row r="463" spans="1:17" x14ac:dyDescent="0.25">
      <c r="A463" s="5">
        <v>6037</v>
      </c>
      <c r="B463" s="3" t="s">
        <v>190</v>
      </c>
      <c r="C463" s="3" t="s">
        <v>40</v>
      </c>
      <c r="D463" s="3" t="s">
        <v>58</v>
      </c>
      <c r="E463" s="3" t="s">
        <v>1334</v>
      </c>
      <c r="F463" s="3" t="s">
        <v>1335</v>
      </c>
      <c r="G463" s="9">
        <v>1650</v>
      </c>
      <c r="H463" s="3" t="s">
        <v>21</v>
      </c>
      <c r="I463" s="4">
        <v>46119</v>
      </c>
      <c r="J463" t="s">
        <v>22</v>
      </c>
      <c r="K463" s="3" t="s">
        <v>23</v>
      </c>
      <c r="L463" s="3" t="s">
        <v>23</v>
      </c>
      <c r="N463" s="19">
        <v>46120</v>
      </c>
      <c r="O463" t="s">
        <v>1336</v>
      </c>
      <c r="P463" s="3" t="s">
        <v>1078</v>
      </c>
      <c r="Q463" t="s">
        <v>1337</v>
      </c>
    </row>
    <row r="464" spans="1:17" x14ac:dyDescent="0.25">
      <c r="A464" s="5">
        <v>6038</v>
      </c>
      <c r="B464" s="3" t="s">
        <v>190</v>
      </c>
      <c r="C464" s="3" t="s">
        <v>40</v>
      </c>
      <c r="D464" s="3" t="s">
        <v>58</v>
      </c>
      <c r="E464" s="3" t="s">
        <v>1338</v>
      </c>
      <c r="F464" s="3" t="s">
        <v>1339</v>
      </c>
      <c r="G464" s="9">
        <v>470</v>
      </c>
      <c r="H464" s="3" t="s">
        <v>21</v>
      </c>
      <c r="I464" s="4">
        <v>46119</v>
      </c>
      <c r="J464" t="s">
        <v>22</v>
      </c>
      <c r="K464" s="3" t="s">
        <v>23</v>
      </c>
      <c r="L464" s="3" t="s">
        <v>23</v>
      </c>
      <c r="N464" s="19">
        <v>46120</v>
      </c>
      <c r="O464" t="s">
        <v>1340</v>
      </c>
      <c r="P464" s="3" t="s">
        <v>1078</v>
      </c>
      <c r="Q464" t="s">
        <v>1341</v>
      </c>
    </row>
    <row r="465" spans="1:17" x14ac:dyDescent="0.25">
      <c r="A465" s="5">
        <v>6039</v>
      </c>
      <c r="B465" s="3" t="s">
        <v>1342</v>
      </c>
      <c r="C465" s="3" t="s">
        <v>40</v>
      </c>
      <c r="D465" s="3" t="s">
        <v>35</v>
      </c>
      <c r="E465" s="3" t="s">
        <v>1343</v>
      </c>
      <c r="F465" s="3" t="s">
        <v>1344</v>
      </c>
      <c r="G465" s="9">
        <v>3000</v>
      </c>
      <c r="H465" s="3" t="s">
        <v>21</v>
      </c>
      <c r="I465" s="4">
        <v>46120</v>
      </c>
      <c r="J465" t="s">
        <v>469</v>
      </c>
      <c r="K465" s="3" t="s">
        <v>23</v>
      </c>
      <c r="L465" s="3" t="s">
        <v>23</v>
      </c>
      <c r="P465" s="3" t="s">
        <v>24</v>
      </c>
      <c r="Q465" t="s">
        <v>1345</v>
      </c>
    </row>
    <row r="466" spans="1:17" x14ac:dyDescent="0.25">
      <c r="A466" s="5">
        <v>6040</v>
      </c>
      <c r="B466" s="3" t="s">
        <v>729</v>
      </c>
      <c r="C466" s="3" t="s">
        <v>29</v>
      </c>
      <c r="D466" s="3" t="s">
        <v>108</v>
      </c>
      <c r="E466" s="3" t="s">
        <v>1346</v>
      </c>
      <c r="F466" s="3" t="s">
        <v>1347</v>
      </c>
      <c r="G466" s="9">
        <v>12670</v>
      </c>
      <c r="H466" s="3" t="s">
        <v>21</v>
      </c>
      <c r="I466" s="4">
        <v>46127</v>
      </c>
      <c r="J466" t="s">
        <v>469</v>
      </c>
      <c r="K466" s="3" t="s">
        <v>23</v>
      </c>
      <c r="L466" s="3" t="s">
        <v>23</v>
      </c>
      <c r="P466" s="3" t="s">
        <v>1078</v>
      </c>
      <c r="Q466" t="s">
        <v>1348</v>
      </c>
    </row>
    <row r="467" spans="1:17" x14ac:dyDescent="0.25">
      <c r="A467" s="5">
        <v>6041</v>
      </c>
      <c r="B467" s="3" t="s">
        <v>1178</v>
      </c>
      <c r="C467" s="3" t="s">
        <v>29</v>
      </c>
      <c r="D467" s="3" t="s">
        <v>108</v>
      </c>
      <c r="E467" s="3" t="s">
        <v>1349</v>
      </c>
      <c r="F467" s="3" t="s">
        <v>1350</v>
      </c>
      <c r="G467" s="9">
        <v>11800</v>
      </c>
      <c r="H467" s="3" t="s">
        <v>21</v>
      </c>
      <c r="I467" s="4">
        <v>46127</v>
      </c>
      <c r="J467" t="s">
        <v>469</v>
      </c>
      <c r="K467" s="3" t="s">
        <v>23</v>
      </c>
      <c r="L467" s="3" t="s">
        <v>23</v>
      </c>
      <c r="N467" s="19">
        <v>46128</v>
      </c>
      <c r="O467" t="s">
        <v>1371</v>
      </c>
      <c r="P467" s="3" t="s">
        <v>1078</v>
      </c>
      <c r="Q467" t="s">
        <v>1351</v>
      </c>
    </row>
    <row r="468" spans="1:17" x14ac:dyDescent="0.25">
      <c r="A468" s="5">
        <v>6042</v>
      </c>
      <c r="B468" s="3" t="s">
        <v>1352</v>
      </c>
      <c r="C468" s="3" t="s">
        <v>184</v>
      </c>
      <c r="D468" s="3" t="s">
        <v>50</v>
      </c>
      <c r="E468" s="3" t="s">
        <v>1353</v>
      </c>
      <c r="F468" s="3" t="s">
        <v>1354</v>
      </c>
      <c r="G468" s="9">
        <v>3100</v>
      </c>
      <c r="H468" s="3" t="s">
        <v>21</v>
      </c>
      <c r="I468" s="4">
        <v>46131</v>
      </c>
      <c r="J468" t="s">
        <v>469</v>
      </c>
      <c r="K468" s="3" t="s">
        <v>23</v>
      </c>
      <c r="L468" s="3" t="s">
        <v>23</v>
      </c>
      <c r="M468" s="3" t="s">
        <v>271</v>
      </c>
      <c r="N468" s="19">
        <v>46130</v>
      </c>
      <c r="O468" t="s">
        <v>1372</v>
      </c>
      <c r="P468" s="3" t="s">
        <v>24</v>
      </c>
      <c r="Q468" t="s">
        <v>1355</v>
      </c>
    </row>
    <row r="469" spans="1:17" x14ac:dyDescent="0.25">
      <c r="A469" s="5">
        <v>6043</v>
      </c>
      <c r="B469" s="3" t="s">
        <v>723</v>
      </c>
      <c r="C469" s="3" t="s">
        <v>29</v>
      </c>
      <c r="D469" s="3" t="s">
        <v>108</v>
      </c>
      <c r="E469" s="3" t="s">
        <v>1356</v>
      </c>
      <c r="F469" s="3" t="s">
        <v>1357</v>
      </c>
      <c r="G469" s="9">
        <v>27500</v>
      </c>
      <c r="H469" s="3" t="s">
        <v>21</v>
      </c>
      <c r="I469" s="4">
        <v>46132</v>
      </c>
      <c r="J469" t="s">
        <v>469</v>
      </c>
      <c r="K469" s="3" t="s">
        <v>23</v>
      </c>
      <c r="L469" s="3" t="s">
        <v>23</v>
      </c>
      <c r="M469" s="3" t="s">
        <v>271</v>
      </c>
      <c r="N469" s="19">
        <v>46132</v>
      </c>
      <c r="O469" t="s">
        <v>1358</v>
      </c>
      <c r="P469" s="3" t="s">
        <v>1078</v>
      </c>
      <c r="Q469" t="s">
        <v>1359</v>
      </c>
    </row>
    <row r="470" spans="1:17" x14ac:dyDescent="0.25">
      <c r="A470" s="5">
        <v>6044</v>
      </c>
      <c r="B470" s="3" t="s">
        <v>723</v>
      </c>
      <c r="C470" s="3" t="s">
        <v>29</v>
      </c>
      <c r="D470" s="3" t="s">
        <v>64</v>
      </c>
      <c r="E470" s="3" t="s">
        <v>1360</v>
      </c>
      <c r="F470" s="3" t="s">
        <v>1361</v>
      </c>
      <c r="G470" s="9">
        <v>6505</v>
      </c>
      <c r="H470" s="3" t="s">
        <v>21</v>
      </c>
      <c r="I470" s="4">
        <v>46132</v>
      </c>
      <c r="J470" t="s">
        <v>22</v>
      </c>
      <c r="K470" s="3" t="s">
        <v>23</v>
      </c>
      <c r="L470" s="3" t="s">
        <v>23</v>
      </c>
      <c r="N470" s="19">
        <v>46132</v>
      </c>
      <c r="O470" t="s">
        <v>1362</v>
      </c>
      <c r="P470" s="3" t="s">
        <v>1078</v>
      </c>
      <c r="Q470" t="s">
        <v>1363</v>
      </c>
    </row>
    <row r="471" spans="1:17" x14ac:dyDescent="0.25">
      <c r="A471" s="5">
        <v>6045</v>
      </c>
      <c r="B471" s="3" t="s">
        <v>723</v>
      </c>
      <c r="C471" s="3" t="s">
        <v>197</v>
      </c>
      <c r="D471" s="3" t="s">
        <v>64</v>
      </c>
      <c r="E471" s="3" t="s">
        <v>1364</v>
      </c>
      <c r="F471" s="3" t="s">
        <v>1365</v>
      </c>
      <c r="G471" s="9">
        <v>2400</v>
      </c>
      <c r="H471" s="3" t="s">
        <v>21</v>
      </c>
      <c r="I471" s="4">
        <v>46132</v>
      </c>
      <c r="J471" t="s">
        <v>22</v>
      </c>
      <c r="K471" s="3" t="s">
        <v>23</v>
      </c>
      <c r="L471" s="3" t="s">
        <v>23</v>
      </c>
      <c r="N471" s="19">
        <v>46132</v>
      </c>
      <c r="O471" t="s">
        <v>1366</v>
      </c>
      <c r="P471" s="3" t="s">
        <v>1078</v>
      </c>
      <c r="Q471" t="s">
        <v>1367</v>
      </c>
    </row>
    <row r="472" spans="1:17" x14ac:dyDescent="0.25">
      <c r="A472" s="5">
        <v>6063</v>
      </c>
      <c r="B472" s="3" t="s">
        <v>17</v>
      </c>
      <c r="C472" s="3" t="s">
        <v>29</v>
      </c>
      <c r="D472" s="3" t="s">
        <v>35</v>
      </c>
      <c r="E472" s="3" t="s">
        <v>1373</v>
      </c>
      <c r="F472" s="3" t="s">
        <v>1374</v>
      </c>
      <c r="G472" s="9">
        <v>790</v>
      </c>
      <c r="H472" s="3" t="s">
        <v>21</v>
      </c>
      <c r="I472" s="4">
        <v>46141</v>
      </c>
      <c r="J472" t="s">
        <v>22</v>
      </c>
      <c r="K472" s="3" t="s">
        <v>764</v>
      </c>
      <c r="L472" s="3" t="s">
        <v>23</v>
      </c>
    </row>
    <row r="473" spans="1:17" x14ac:dyDescent="0.25">
      <c r="A473" s="5">
        <v>6064</v>
      </c>
      <c r="G473" s="17"/>
    </row>
    <row r="474" spans="1:17" x14ac:dyDescent="0.25">
      <c r="A474" s="5">
        <v>6065</v>
      </c>
      <c r="G474" s="17"/>
    </row>
    <row r="475" spans="1:17" x14ac:dyDescent="0.25">
      <c r="A475" s="5">
        <v>6066</v>
      </c>
      <c r="G475" s="17"/>
    </row>
    <row r="476" spans="1:17" x14ac:dyDescent="0.25">
      <c r="A476" s="5">
        <v>6067</v>
      </c>
      <c r="G476" s="17"/>
    </row>
    <row r="477" spans="1:17" x14ac:dyDescent="0.25">
      <c r="A477" s="5">
        <v>6068</v>
      </c>
      <c r="G477" s="17"/>
    </row>
    <row r="478" spans="1:17" x14ac:dyDescent="0.25">
      <c r="A478" s="5">
        <v>6069</v>
      </c>
      <c r="G478" s="17"/>
    </row>
    <row r="479" spans="1:17" x14ac:dyDescent="0.25">
      <c r="A479" s="5">
        <v>6070</v>
      </c>
      <c r="G479" s="17"/>
    </row>
    <row r="480" spans="1:17" x14ac:dyDescent="0.25">
      <c r="A480" s="5">
        <v>6071</v>
      </c>
    </row>
    <row r="481" spans="1:1" x14ac:dyDescent="0.25">
      <c r="A481" s="5">
        <v>6072</v>
      </c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</sheetData>
  <autoFilter ref="A1:M482" xr:uid="{00000000-0009-0000-0000-000000000000}"/>
  <conditionalFormatting sqref="K1:L1048576 M11:O11 M16:O16 M20:O20 M26:O26 M29:P29 M30:O30 M32:O32 P32:P51 M39:O39 M41:O42 M49:O49 P54:P124 M101:O101 M118:O118 P126:P329 M132:O133 M136:O136 M138:O141 M151:O151 M163:O163 M166:O166 M172:O172 M174:O174 M186:O186 M191:O191 M195:O195 M206:O208 M211:O211 M218:O218 M222:O222 M225:O226 M234:O234 M236:O236 M245:O245 M247:O247 M250:O251 M258:O258 M260:O262 M264:O264 M268:O268 M275:O275 M285:O285 M293:O293 M297:O298 M309:O309 P331:P333 P337:P341 P344:P346 P349 P351 P357:P360 M361:P361 P364:P373 P375 P382:P385 P387:P389 P392 P401:P402 P407 P411:P417 P432 P436 P448 M468:M469 P469">
    <cfRule type="containsText" dxfId="0" priority="1" operator="containsText" text="PENDING">
      <formula>NOT(ISERROR(SEARCH("PENDING",K1)))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22"/>
  <sheetViews>
    <sheetView workbookViewId="0">
      <selection activeCell="G9" sqref="G9:G10"/>
    </sheetView>
  </sheetViews>
  <sheetFormatPr defaultRowHeight="15" x14ac:dyDescent="0.25"/>
  <cols>
    <col min="4" max="4" width="38" customWidth="1"/>
  </cols>
  <sheetData>
    <row r="1" spans="4:4" x14ac:dyDescent="0.25">
      <c r="D1" s="18" t="s">
        <v>3</v>
      </c>
    </row>
    <row r="2" spans="4:4" x14ac:dyDescent="0.25">
      <c r="D2" t="s">
        <v>50</v>
      </c>
    </row>
    <row r="3" spans="4:4" x14ac:dyDescent="0.25">
      <c r="D3" t="s">
        <v>35</v>
      </c>
    </row>
    <row r="4" spans="4:4" x14ac:dyDescent="0.25">
      <c r="D4" t="s">
        <v>58</v>
      </c>
    </row>
    <row r="5" spans="4:4" x14ac:dyDescent="0.25">
      <c r="D5" t="s">
        <v>64</v>
      </c>
    </row>
    <row r="6" spans="4:4" x14ac:dyDescent="0.25">
      <c r="D6" t="s">
        <v>156</v>
      </c>
    </row>
    <row r="7" spans="4:4" x14ac:dyDescent="0.25">
      <c r="D7" t="s">
        <v>144</v>
      </c>
    </row>
    <row r="8" spans="4:4" x14ac:dyDescent="0.25">
      <c r="D8" t="s">
        <v>108</v>
      </c>
    </row>
    <row r="9" spans="4:4" x14ac:dyDescent="0.25">
      <c r="D9" t="s">
        <v>1368</v>
      </c>
    </row>
    <row r="10" spans="4:4" x14ac:dyDescent="0.25">
      <c r="D10" t="s">
        <v>73</v>
      </c>
    </row>
    <row r="11" spans="4:4" x14ac:dyDescent="0.25">
      <c r="D11" t="s">
        <v>654</v>
      </c>
    </row>
    <row r="12" spans="4:4" x14ac:dyDescent="0.25">
      <c r="D12" t="s">
        <v>632</v>
      </c>
    </row>
    <row r="13" spans="4:4" x14ac:dyDescent="0.25">
      <c r="D13" t="s">
        <v>160</v>
      </c>
    </row>
    <row r="14" spans="4:4" x14ac:dyDescent="0.25">
      <c r="D14" t="s">
        <v>1369</v>
      </c>
    </row>
    <row r="15" spans="4:4" x14ac:dyDescent="0.25">
      <c r="D15" t="s">
        <v>19</v>
      </c>
    </row>
    <row r="16" spans="4:4" x14ac:dyDescent="0.25">
      <c r="D16" t="s">
        <v>1370</v>
      </c>
    </row>
    <row r="17" spans="4:4" x14ac:dyDescent="0.25">
      <c r="D17" t="s">
        <v>41</v>
      </c>
    </row>
    <row r="18" spans="4:4" x14ac:dyDescent="0.25">
      <c r="D18" t="s">
        <v>69</v>
      </c>
    </row>
    <row r="19" spans="4:4" x14ac:dyDescent="0.25">
      <c r="D19" t="s">
        <v>81</v>
      </c>
    </row>
    <row r="20" spans="4:4" x14ac:dyDescent="0.25">
      <c r="D20" t="s">
        <v>77</v>
      </c>
    </row>
    <row r="21" spans="4:4" x14ac:dyDescent="0.25">
      <c r="D21" t="s">
        <v>114</v>
      </c>
    </row>
    <row r="22" spans="4:4" x14ac:dyDescent="0.25">
      <c r="D22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LPO TRACKING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Shihas Hameed</dc:creator>
  <cp:lastModifiedBy>shiyaz hameed</cp:lastModifiedBy>
  <cp:lastPrinted>2025-08-10T07:19:12Z</cp:lastPrinted>
  <dcterms:created xsi:type="dcterms:W3CDTF">2022-05-11T05:36:46Z</dcterms:created>
  <dcterms:modified xsi:type="dcterms:W3CDTF">2026-04-29T14:18:35Z</dcterms:modified>
</cp:coreProperties>
</file>